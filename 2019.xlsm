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llinoisstateuniversity-my.sharepoint.com/personal/jcklige_ilstu_edu/Documents/Personal Finance (financial records, savings, budgetting, etc.)/Budgets/"/>
    </mc:Choice>
  </mc:AlternateContent>
  <xr:revisionPtr revIDLastSave="0" documentId="14_{140CC738-D9FB-4C13-94A3-551C0DCCBF9A}" xr6:coauthVersionLast="43" xr6:coauthVersionMax="43" xr10:uidLastSave="{00000000-0000-0000-0000-000000000000}"/>
  <bookViews>
    <workbookView xWindow="-120" yWindow="-120" windowWidth="19440" windowHeight="11640" xr2:uid="{3D3D2164-5600-49E9-95D5-3220F332103C}"/>
  </bookViews>
  <sheets>
    <sheet name="Summary" sheetId="9" r:id="rId1"/>
    <sheet name="Transactions" sheetId="1" r:id="rId2"/>
    <sheet name="Projected CF" sheetId="3" r:id="rId3"/>
    <sheet name="Pivot Table" sheetId="7" r:id="rId4"/>
    <sheet name="Scenarios" sheetId="10" r:id="rId5"/>
    <sheet name="Debt and Investments" sheetId="13" r:id="rId6"/>
    <sheet name="Lists" sheetId="4" r:id="rId7"/>
  </sheets>
  <definedNames>
    <definedName name="_xlnm._FilterDatabase" localSheetId="1" hidden="1">Transactions!$A$1:$F$6</definedName>
    <definedName name="_xlcn.WorksheetConnection_Book1.xlsmTransactions1" hidden="1">Transactions[]</definedName>
    <definedName name="Bills_and_Utilities" localSheetId="1">Transactions!#REF!</definedName>
    <definedName name="data">Transactions!$A$1:$F$276</definedName>
    <definedName name="Date" localSheetId="1">Transactions!$A$2:$A$276</definedName>
    <definedName name="Description" localSheetId="1">Transactions!$C$2:$C$276</definedName>
    <definedName name="Education" localSheetId="1">Transactions!#REF!</definedName>
    <definedName name="Exp">'Pivot Table'!#REF!</definedName>
    <definedName name="Expense">Lists!$B$2:$B$12</definedName>
    <definedName name="Expenses">'Projected CF'!$B$17:$B$27</definedName>
    <definedName name="Expesnes">'Pivot Table'!#REF!</definedName>
    <definedName name="Food_and_Dining" localSheetId="1">Transactions!#REF!</definedName>
    <definedName name="Home" localSheetId="1">Transactions!#REF!</definedName>
    <definedName name="INC">'Pivot Table'!#REF!</definedName>
    <definedName name="Income">Lists!$A$2:$A$12</definedName>
    <definedName name="Other" localSheetId="1">Transactions!#REF!</definedName>
    <definedName name="Payment_Type" localSheetId="1">Transactions!$B$2:$B$276</definedName>
    <definedName name="_xlnm.Print_Area" localSheetId="2">'Projected CF'!$C$5:$Q$59</definedName>
    <definedName name="_xlnm.Print_Area" localSheetId="1">Transactions!$A$1:$F$276</definedName>
    <definedName name="_xlnm.Print_Titles" localSheetId="2">'Projected CF'!$A:$B,'Projected CF'!$1:$4</definedName>
    <definedName name="Projected_Expenses">'Projected CF'!$B$17:$B$27,'Projected CF'!$P$17:$P$27</definedName>
    <definedName name="Savings" localSheetId="1">Transactions!$E$2:$E$276</definedName>
    <definedName name="Shopping" localSheetId="1">Transactions!#REF!</definedName>
    <definedName name="Subtotal" localSheetId="1">Transactions!$F$2:$F$276</definedName>
    <definedName name="Travel" localSheetId="1">Transactions!#REF!</definedName>
    <definedName name="valuevx">42.314159</definedName>
    <definedName name="vertex42_copyright" hidden="1">"© 2009-2014 Vertex42 LLC"</definedName>
    <definedName name="vertex42_id" hidden="1">"expense-tracking.xlsx"</definedName>
    <definedName name="vertex42_title" hidden="1">"Expense Tracking Template"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nsactions" name="Transactions" connection="WorksheetConnection_Book1.xlsm!Transaction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0" l="1"/>
  <c r="F61" i="1" l="1"/>
  <c r="B2" i="13" l="1"/>
  <c r="C8" i="9"/>
  <c r="C11" i="13"/>
  <c r="B11" i="13"/>
  <c r="B7" i="13"/>
  <c r="D7" i="13"/>
  <c r="D11" i="13" s="1"/>
  <c r="E7" i="13" s="1"/>
  <c r="E11" i="13" s="1"/>
  <c r="F7" i="13" s="1"/>
  <c r="F11" i="13" s="1"/>
  <c r="G7" i="13" s="1"/>
  <c r="G11" i="13" s="1"/>
  <c r="H7" i="13" s="1"/>
  <c r="H11" i="13" s="1"/>
  <c r="I7" i="13" s="1"/>
  <c r="I11" i="13" s="1"/>
  <c r="J7" i="13" s="1"/>
  <c r="J11" i="13" s="1"/>
  <c r="K7" i="13" s="1"/>
  <c r="K11" i="13" s="1"/>
  <c r="L7" i="13" s="1"/>
  <c r="L11" i="13" s="1"/>
  <c r="M7" i="13" s="1"/>
  <c r="M11" i="13" s="1"/>
  <c r="N7" i="13" s="1"/>
  <c r="N11" i="13" s="1"/>
  <c r="C7" i="13"/>
  <c r="O3" i="13"/>
  <c r="O4" i="13"/>
  <c r="O5" i="13"/>
  <c r="O8" i="13"/>
  <c r="O9" i="13"/>
  <c r="O10" i="13"/>
  <c r="B6" i="13"/>
  <c r="C2" i="13" s="1"/>
  <c r="C6" i="13" s="1"/>
  <c r="D2" i="13" s="1"/>
  <c r="D6" i="13" s="1"/>
  <c r="E2" i="13" s="1"/>
  <c r="E6" i="13" s="1"/>
  <c r="F2" i="13" s="1"/>
  <c r="F6" i="13" s="1"/>
  <c r="G2" i="13" s="1"/>
  <c r="G6" i="13" s="1"/>
  <c r="H2" i="13" s="1"/>
  <c r="H6" i="13" s="1"/>
  <c r="I2" i="13" s="1"/>
  <c r="I6" i="13" s="1"/>
  <c r="J2" i="13" s="1"/>
  <c r="J6" i="13" s="1"/>
  <c r="K2" i="13" s="1"/>
  <c r="K6" i="13" s="1"/>
  <c r="L2" i="13" s="1"/>
  <c r="L6" i="13" s="1"/>
  <c r="M2" i="13" s="1"/>
  <c r="M6" i="13" s="1"/>
  <c r="N2" i="13" s="1"/>
  <c r="N6" i="13" s="1"/>
  <c r="C7" i="9" s="1"/>
  <c r="E19" i="3"/>
  <c r="F19" i="3"/>
  <c r="G19" i="3"/>
  <c r="H19" i="3"/>
  <c r="I19" i="3"/>
  <c r="J19" i="3"/>
  <c r="K19" i="3"/>
  <c r="L19" i="3"/>
  <c r="M19" i="3"/>
  <c r="N19" i="3"/>
  <c r="O19" i="3"/>
  <c r="D19" i="3"/>
  <c r="E18" i="3"/>
  <c r="F18" i="3"/>
  <c r="D18" i="3"/>
  <c r="J22" i="3"/>
  <c r="K22" i="3"/>
  <c r="L22" i="3"/>
  <c r="M22" i="3"/>
  <c r="N22" i="3"/>
  <c r="O22" i="3"/>
  <c r="I22" i="3"/>
  <c r="D17" i="3"/>
  <c r="J20" i="3"/>
  <c r="K20" i="3"/>
  <c r="L20" i="3"/>
  <c r="M20" i="3"/>
  <c r="N20" i="3"/>
  <c r="O20" i="3"/>
  <c r="I20" i="3"/>
  <c r="J21" i="3"/>
  <c r="K21" i="3"/>
  <c r="L21" i="3"/>
  <c r="M21" i="3"/>
  <c r="N21" i="3"/>
  <c r="O21" i="3"/>
  <c r="I21" i="3"/>
  <c r="E21" i="3"/>
  <c r="F21" i="3"/>
  <c r="G21" i="3"/>
  <c r="H21" i="3"/>
  <c r="D21" i="3"/>
  <c r="C41" i="3" l="1"/>
  <c r="B6" i="10" l="1"/>
  <c r="B4" i="10"/>
  <c r="C4" i="10" s="1"/>
  <c r="B8" i="10"/>
  <c r="C8" i="10" s="1"/>
  <c r="B11" i="10"/>
  <c r="C11" i="10" s="1"/>
  <c r="B10" i="10"/>
  <c r="C10" i="10" s="1"/>
  <c r="K18" i="10"/>
  <c r="L15" i="10"/>
  <c r="J18" i="10" s="1"/>
  <c r="O14" i="10"/>
  <c r="O15" i="10" s="1"/>
  <c r="J28" i="10" s="1"/>
  <c r="B33" i="10"/>
  <c r="B32" i="10"/>
  <c r="B31" i="10"/>
  <c r="B30" i="10"/>
  <c r="B29" i="10"/>
  <c r="B28" i="10"/>
  <c r="B14" i="10"/>
  <c r="C14" i="10" s="1"/>
  <c r="B13" i="10"/>
  <c r="C13" i="10" s="1"/>
  <c r="B12" i="10"/>
  <c r="C12" i="10" s="1"/>
  <c r="B9" i="10"/>
  <c r="C9" i="10" s="1"/>
  <c r="B3" i="10"/>
  <c r="B2" i="10"/>
  <c r="C5" i="10" l="1"/>
  <c r="C6" i="10" s="1"/>
  <c r="B15" i="10" s="1"/>
  <c r="C15" i="10" s="1"/>
  <c r="C16" i="10" l="1"/>
  <c r="C7" i="10"/>
  <c r="B18" i="10" l="1"/>
  <c r="E2" i="10"/>
  <c r="B27" i="10"/>
  <c r="C6" i="9" l="1"/>
  <c r="P18" i="3"/>
  <c r="K27" i="9" s="1"/>
  <c r="J26" i="9"/>
  <c r="L26" i="9" s="1"/>
  <c r="J27" i="9"/>
  <c r="L27" i="9" s="1"/>
  <c r="J28" i="9"/>
  <c r="L28" i="9" s="1"/>
  <c r="J29" i="9"/>
  <c r="J30" i="9"/>
  <c r="J31" i="9"/>
  <c r="L31" i="9" s="1"/>
  <c r="J32" i="9"/>
  <c r="L32" i="9" s="1"/>
  <c r="J33" i="9"/>
  <c r="L33" i="9" s="1"/>
  <c r="J34" i="9"/>
  <c r="L34" i="9" s="1"/>
  <c r="J35" i="9"/>
  <c r="L35" i="9" s="1"/>
  <c r="J36" i="9"/>
  <c r="L36" i="9" s="1"/>
  <c r="E29" i="3"/>
  <c r="L29" i="3"/>
  <c r="P23" i="3"/>
  <c r="K32" i="9" s="1"/>
  <c r="B3" i="4"/>
  <c r="A44" i="9" s="1"/>
  <c r="D44" i="9" s="1"/>
  <c r="B4" i="4"/>
  <c r="A45" i="9" s="1"/>
  <c r="B5" i="4"/>
  <c r="A46" i="9" s="1"/>
  <c r="B6" i="4"/>
  <c r="A47" i="9" s="1"/>
  <c r="B7" i="4"/>
  <c r="A48" i="9" s="1"/>
  <c r="H48" i="9" s="1"/>
  <c r="B8" i="4"/>
  <c r="A49" i="9" s="1"/>
  <c r="B9" i="4"/>
  <c r="A50" i="9" s="1"/>
  <c r="C50" i="9" s="1"/>
  <c r="B10" i="4"/>
  <c r="A51" i="9" s="1"/>
  <c r="B11" i="4"/>
  <c r="A52" i="9" s="1"/>
  <c r="D52" i="9" s="1"/>
  <c r="B12" i="4"/>
  <c r="A53" i="9" s="1"/>
  <c r="B2" i="4"/>
  <c r="A43" i="9" s="1"/>
  <c r="H43" i="9" s="1"/>
  <c r="O29" i="3"/>
  <c r="P20" i="3"/>
  <c r="K29" i="9" s="1"/>
  <c r="P19" i="3"/>
  <c r="K28" i="9" s="1"/>
  <c r="P22" i="3"/>
  <c r="K31" i="9" s="1"/>
  <c r="P24" i="3"/>
  <c r="K33" i="9" s="1"/>
  <c r="P25" i="3"/>
  <c r="K34" i="9" s="1"/>
  <c r="P26" i="3"/>
  <c r="K35" i="9" s="1"/>
  <c r="P27" i="3"/>
  <c r="K36" i="9" s="1"/>
  <c r="P28" i="3"/>
  <c r="C11" i="9"/>
  <c r="C29" i="3"/>
  <c r="C34" i="3"/>
  <c r="C43" i="3"/>
  <c r="D14" i="3"/>
  <c r="D41" i="3" s="1"/>
  <c r="D34" i="3"/>
  <c r="D43" i="3"/>
  <c r="E14" i="3"/>
  <c r="E41" i="3" s="1"/>
  <c r="E34" i="3"/>
  <c r="E43" i="3"/>
  <c r="F14" i="3"/>
  <c r="F41" i="3" s="1"/>
  <c r="F34" i="3"/>
  <c r="F43" i="3"/>
  <c r="G14" i="3"/>
  <c r="G41" i="3" s="1"/>
  <c r="G29" i="3"/>
  <c r="G34" i="3"/>
  <c r="G43" i="3"/>
  <c r="H14" i="3"/>
  <c r="H41" i="3" s="1"/>
  <c r="H34" i="3"/>
  <c r="H43" i="3"/>
  <c r="I14" i="3"/>
  <c r="I41" i="3" s="1"/>
  <c r="I29" i="3"/>
  <c r="I34" i="3"/>
  <c r="I43" i="3"/>
  <c r="J14" i="3"/>
  <c r="J29" i="3"/>
  <c r="J34" i="3"/>
  <c r="J43" i="3"/>
  <c r="K14" i="3"/>
  <c r="K41" i="3" s="1"/>
  <c r="K29" i="3"/>
  <c r="K34" i="3"/>
  <c r="K43" i="3"/>
  <c r="L14" i="3"/>
  <c r="L41" i="3" s="1"/>
  <c r="L34" i="3"/>
  <c r="L43" i="3"/>
  <c r="M14" i="3"/>
  <c r="M41" i="3" s="1"/>
  <c r="M34" i="3"/>
  <c r="M43" i="3"/>
  <c r="N14" i="3"/>
  <c r="N41" i="3" s="1"/>
  <c r="N34" i="3"/>
  <c r="N43" i="3"/>
  <c r="O14" i="3"/>
  <c r="O34" i="3"/>
  <c r="O43" i="3"/>
  <c r="C52" i="3"/>
  <c r="P51" i="3"/>
  <c r="P50" i="3"/>
  <c r="P49" i="3"/>
  <c r="P32" i="3"/>
  <c r="P33" i="3"/>
  <c r="P7" i="3"/>
  <c r="P8" i="3"/>
  <c r="P9" i="3"/>
  <c r="P10" i="3"/>
  <c r="P11" i="3"/>
  <c r="P12" i="3"/>
  <c r="P13" i="3"/>
  <c r="D3" i="3"/>
  <c r="E3" i="3" s="1"/>
  <c r="F3" i="3" s="1"/>
  <c r="G3" i="3" s="1"/>
  <c r="H3" i="3" s="1"/>
  <c r="I3" i="3" s="1"/>
  <c r="J3" i="3" s="1"/>
  <c r="K3" i="3" s="1"/>
  <c r="L3" i="3" s="1"/>
  <c r="M3" i="3" s="1"/>
  <c r="N3" i="3" s="1"/>
  <c r="O3" i="3" s="1"/>
  <c r="P3" i="3" s="1"/>
  <c r="L36" i="3" l="1"/>
  <c r="C36" i="3"/>
  <c r="C42" i="3" s="1"/>
  <c r="C45" i="3" s="1"/>
  <c r="C54" i="3" s="1"/>
  <c r="E36" i="3"/>
  <c r="E42" i="3" s="1"/>
  <c r="P43" i="3"/>
  <c r="K36" i="3"/>
  <c r="K42" i="3" s="1"/>
  <c r="J36" i="3"/>
  <c r="J42" i="3" s="1"/>
  <c r="I36" i="3"/>
  <c r="I42" i="3" s="1"/>
  <c r="G36" i="3"/>
  <c r="G42" i="3" s="1"/>
  <c r="P34" i="3"/>
  <c r="O36" i="3"/>
  <c r="O42" i="3" s="1"/>
  <c r="H46" i="9"/>
  <c r="L46" i="9"/>
  <c r="E46" i="9"/>
  <c r="K46" i="9"/>
  <c r="G46" i="9"/>
  <c r="F46" i="9"/>
  <c r="M46" i="9"/>
  <c r="M35" i="9"/>
  <c r="I46" i="9"/>
  <c r="M43" i="9"/>
  <c r="P14" i="3"/>
  <c r="P41" i="3" s="1"/>
  <c r="J43" i="9"/>
  <c r="D48" i="3"/>
  <c r="D52" i="3" s="1"/>
  <c r="E48" i="3" s="1"/>
  <c r="E52" i="3" s="1"/>
  <c r="M27" i="9"/>
  <c r="M31" i="9"/>
  <c r="J41" i="3"/>
  <c r="L42" i="3"/>
  <c r="L38" i="3"/>
  <c r="L53" i="9"/>
  <c r="C53" i="9"/>
  <c r="G53" i="9"/>
  <c r="M53" i="9"/>
  <c r="K53" i="9"/>
  <c r="D53" i="9"/>
  <c r="H53" i="9"/>
  <c r="E53" i="9"/>
  <c r="F53" i="9"/>
  <c r="I53" i="9"/>
  <c r="B53" i="9"/>
  <c r="J53" i="9"/>
  <c r="G49" i="9"/>
  <c r="M49" i="9"/>
  <c r="H49" i="9"/>
  <c r="I49" i="9"/>
  <c r="B49" i="9"/>
  <c r="J49" i="9"/>
  <c r="E49" i="9"/>
  <c r="F49" i="9"/>
  <c r="L45" i="9"/>
  <c r="C45" i="9"/>
  <c r="G45" i="9"/>
  <c r="M45" i="9"/>
  <c r="K45" i="9"/>
  <c r="D45" i="9"/>
  <c r="H45" i="9"/>
  <c r="E45" i="9"/>
  <c r="F45" i="9"/>
  <c r="I45" i="9"/>
  <c r="B45" i="9"/>
  <c r="J45" i="9"/>
  <c r="L51" i="9"/>
  <c r="K51" i="9"/>
  <c r="E51" i="9"/>
  <c r="I51" i="9"/>
  <c r="B51" i="9"/>
  <c r="F51" i="9"/>
  <c r="J51" i="9"/>
  <c r="L47" i="9"/>
  <c r="K47" i="9"/>
  <c r="E47" i="9"/>
  <c r="I47" i="9"/>
  <c r="F47" i="9"/>
  <c r="J47" i="9"/>
  <c r="D49" i="9"/>
  <c r="I43" i="9"/>
  <c r="M50" i="9"/>
  <c r="M33" i="9"/>
  <c r="L29" i="9"/>
  <c r="M29" i="9" s="1"/>
  <c r="I48" i="9"/>
  <c r="H51" i="9"/>
  <c r="E52" i="9"/>
  <c r="E44" i="9"/>
  <c r="D47" i="9"/>
  <c r="E43" i="9"/>
  <c r="B43" i="9"/>
  <c r="O41" i="3"/>
  <c r="C38" i="3"/>
  <c r="L43" i="9"/>
  <c r="N29" i="3"/>
  <c r="N36" i="3" s="1"/>
  <c r="N42" i="3" s="1"/>
  <c r="B47" i="9"/>
  <c r="P21" i="3"/>
  <c r="K30" i="9" s="1"/>
  <c r="D29" i="3"/>
  <c r="D36" i="3" s="1"/>
  <c r="D42" i="3" s="1"/>
  <c r="D46" i="9"/>
  <c r="F29" i="3"/>
  <c r="F36" i="3" s="1"/>
  <c r="P17" i="3"/>
  <c r="F43" i="9"/>
  <c r="H29" i="3"/>
  <c r="H36" i="3" s="1"/>
  <c r="M47" i="9"/>
  <c r="L50" i="9"/>
  <c r="D50" i="9"/>
  <c r="H50" i="9"/>
  <c r="K50" i="9"/>
  <c r="E50" i="9"/>
  <c r="I50" i="9"/>
  <c r="J50" i="9"/>
  <c r="G51" i="9"/>
  <c r="G43" i="9"/>
  <c r="C47" i="9"/>
  <c r="B50" i="9"/>
  <c r="K49" i="9"/>
  <c r="F277" i="1"/>
  <c r="C12" i="9"/>
  <c r="M51" i="9"/>
  <c r="K43" i="9"/>
  <c r="M29" i="3"/>
  <c r="M36" i="3" s="1"/>
  <c r="L52" i="9"/>
  <c r="B52" i="9"/>
  <c r="F52" i="9"/>
  <c r="J52" i="9"/>
  <c r="K52" i="9"/>
  <c r="C52" i="9"/>
  <c r="G52" i="9"/>
  <c r="M52" i="9"/>
  <c r="L48" i="9"/>
  <c r="B48" i="9"/>
  <c r="F48" i="9"/>
  <c r="J48" i="9"/>
  <c r="K48" i="9"/>
  <c r="C48" i="9"/>
  <c r="G48" i="9"/>
  <c r="M48" i="9"/>
  <c r="L44" i="9"/>
  <c r="B44" i="9"/>
  <c r="F44" i="9"/>
  <c r="J44" i="9"/>
  <c r="K44" i="9"/>
  <c r="C44" i="9"/>
  <c r="G44" i="9"/>
  <c r="M44" i="9"/>
  <c r="C5" i="9"/>
  <c r="C9" i="9" s="1"/>
  <c r="M36" i="9"/>
  <c r="M34" i="9"/>
  <c r="M32" i="9"/>
  <c r="L30" i="9"/>
  <c r="M28" i="9"/>
  <c r="I52" i="9"/>
  <c r="I44" i="9"/>
  <c r="H47" i="9"/>
  <c r="G50" i="9"/>
  <c r="E48" i="9"/>
  <c r="D51" i="9"/>
  <c r="D43" i="9"/>
  <c r="C46" i="9"/>
  <c r="J46" i="9"/>
  <c r="H52" i="9"/>
  <c r="H44" i="9"/>
  <c r="G47" i="9"/>
  <c r="F50" i="9"/>
  <c r="D48" i="9"/>
  <c r="C51" i="9"/>
  <c r="C43" i="9"/>
  <c r="B46" i="9"/>
  <c r="C49" i="9"/>
  <c r="L49" i="9"/>
  <c r="K38" i="3" l="1"/>
  <c r="G38" i="3"/>
  <c r="I38" i="3"/>
  <c r="E38" i="3"/>
  <c r="O38" i="3"/>
  <c r="J38" i="3"/>
  <c r="N53" i="9"/>
  <c r="F48" i="3"/>
  <c r="F52" i="3" s="1"/>
  <c r="L37" i="9"/>
  <c r="I54" i="9"/>
  <c r="M54" i="9"/>
  <c r="N45" i="9"/>
  <c r="N47" i="9"/>
  <c r="L54" i="9"/>
  <c r="F54" i="9"/>
  <c r="J54" i="9"/>
  <c r="N52" i="9"/>
  <c r="K54" i="9"/>
  <c r="N44" i="9"/>
  <c r="N48" i="9"/>
  <c r="D54" i="9"/>
  <c r="N51" i="9"/>
  <c r="B54" i="9"/>
  <c r="B55" i="9" s="1"/>
  <c r="E54" i="9"/>
  <c r="C54" i="9"/>
  <c r="N46" i="9"/>
  <c r="N50" i="9"/>
  <c r="H54" i="9"/>
  <c r="N43" i="9"/>
  <c r="K26" i="9"/>
  <c r="P29" i="3"/>
  <c r="N49" i="9"/>
  <c r="M30" i="9"/>
  <c r="F42" i="3"/>
  <c r="F38" i="3"/>
  <c r="D45" i="3"/>
  <c r="D54" i="3" s="1"/>
  <c r="D38" i="3"/>
  <c r="G54" i="9"/>
  <c r="M42" i="3"/>
  <c r="M38" i="3"/>
  <c r="H38" i="3"/>
  <c r="H42" i="3"/>
  <c r="N38" i="3"/>
  <c r="G48" i="3" l="1"/>
  <c r="G52" i="3" s="1"/>
  <c r="M26" i="9"/>
  <c r="M37" i="9" s="1"/>
  <c r="K37" i="9"/>
  <c r="N54" i="9"/>
  <c r="C55" i="9"/>
  <c r="D55" i="9" s="1"/>
  <c r="E55" i="9" s="1"/>
  <c r="F55" i="9" s="1"/>
  <c r="G55" i="9" s="1"/>
  <c r="H55" i="9" s="1"/>
  <c r="I55" i="9" s="1"/>
  <c r="J55" i="9" s="1"/>
  <c r="K55" i="9" s="1"/>
  <c r="L55" i="9" s="1"/>
  <c r="E45" i="3"/>
  <c r="E54" i="3" s="1"/>
  <c r="B12" i="9"/>
  <c r="P36" i="3"/>
  <c r="B11" i="9"/>
  <c r="H48" i="3" l="1"/>
  <c r="H52" i="3" s="1"/>
  <c r="P42" i="3"/>
  <c r="P38" i="3"/>
  <c r="F45" i="3"/>
  <c r="F54" i="3" s="1"/>
  <c r="I48" i="3" l="1"/>
  <c r="I52" i="3" s="1"/>
  <c r="G45" i="3"/>
  <c r="G54" i="3" s="1"/>
  <c r="J48" i="3" l="1"/>
  <c r="J52" i="3" s="1"/>
  <c r="H45" i="3"/>
  <c r="H54" i="3" s="1"/>
  <c r="K48" i="3" l="1"/>
  <c r="K52" i="3" s="1"/>
  <c r="I45" i="3"/>
  <c r="I54" i="3" s="1"/>
  <c r="L48" i="3" l="1"/>
  <c r="L52" i="3" s="1"/>
  <c r="J45" i="3"/>
  <c r="J54" i="3" s="1"/>
  <c r="M48" i="3" l="1"/>
  <c r="M52" i="3" s="1"/>
  <c r="K45" i="3"/>
  <c r="K54" i="3" s="1"/>
  <c r="N48" i="3" l="1"/>
  <c r="N52" i="3" s="1"/>
  <c r="O48" i="3" s="1"/>
  <c r="O52" i="3" s="1"/>
  <c r="B6" i="9" s="1"/>
  <c r="L45" i="3"/>
  <c r="L54" i="3" s="1"/>
  <c r="M45" i="3" l="1"/>
  <c r="M54" i="3" s="1"/>
  <c r="N45" i="3" l="1"/>
  <c r="N54" i="3" s="1"/>
  <c r="O45" i="3" l="1"/>
  <c r="O54" i="3" s="1"/>
  <c r="B5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6ED550-EB43-4D7C-A1F1-7F3EBCF475D9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AAF4F23-44E0-4357-BB1B-BABC4578B91F}" name="WorksheetConnection_Book1.xlsm!Transactions" type="102" refreshedVersion="6" minRefreshableVersion="5">
    <extLst>
      <ext xmlns:x15="http://schemas.microsoft.com/office/spreadsheetml/2010/11/main" uri="{DE250136-89BD-433C-8126-D09CA5730AF9}">
        <x15:connection id="Transactions" autoDelete="1">
          <x15:rangePr sourceName="_xlcn.WorksheetConnection_Book1.xlsmTransactions1"/>
        </x15:connection>
      </ext>
    </extLst>
  </connection>
</connections>
</file>

<file path=xl/sharedStrings.xml><?xml version="1.0" encoding="utf-8"?>
<sst xmlns="http://schemas.openxmlformats.org/spreadsheetml/2006/main" count="575" uniqueCount="169">
  <si>
    <t>Date</t>
  </si>
  <si>
    <t>Payment
Type</t>
  </si>
  <si>
    <t>Description</t>
  </si>
  <si>
    <t>Income</t>
  </si>
  <si>
    <t>Savings</t>
  </si>
  <si>
    <t>Travel</t>
  </si>
  <si>
    <t>Home</t>
  </si>
  <si>
    <t>Shopping</t>
  </si>
  <si>
    <t>Other</t>
  </si>
  <si>
    <t>Checking</t>
  </si>
  <si>
    <t>Starting Balance of the year</t>
  </si>
  <si>
    <t>Total</t>
  </si>
  <si>
    <t>Amount</t>
  </si>
  <si>
    <t>Cash Flow Worksheet</t>
  </si>
  <si>
    <t>Current</t>
  </si>
  <si>
    <t>January</t>
  </si>
  <si>
    <t>February</t>
  </si>
  <si>
    <t>March</t>
  </si>
  <si>
    <t>April</t>
  </si>
  <si>
    <t xml:space="preserve">May </t>
  </si>
  <si>
    <t>June</t>
  </si>
  <si>
    <t xml:space="preserve">July </t>
  </si>
  <si>
    <t>August</t>
  </si>
  <si>
    <t>September</t>
  </si>
  <si>
    <t>October</t>
  </si>
  <si>
    <t>November</t>
  </si>
  <si>
    <t>December</t>
  </si>
  <si>
    <t>Paychecks</t>
  </si>
  <si>
    <t>Regular</t>
  </si>
  <si>
    <t>Bonus</t>
  </si>
  <si>
    <t>Other Income</t>
  </si>
  <si>
    <t>TOTAL INCOME</t>
  </si>
  <si>
    <t>Expenses</t>
  </si>
  <si>
    <t>Expense 9</t>
  </si>
  <si>
    <t>Expense 10</t>
  </si>
  <si>
    <t>Expense 11</t>
  </si>
  <si>
    <t>TOTAL EXPENSES</t>
  </si>
  <si>
    <t>Business</t>
  </si>
  <si>
    <t>TOTAL Business</t>
  </si>
  <si>
    <t>GRAND TOTAL</t>
  </si>
  <si>
    <t>NET</t>
  </si>
  <si>
    <t>Received</t>
  </si>
  <si>
    <t>Spent</t>
  </si>
  <si>
    <t>Transfer</t>
  </si>
  <si>
    <t>Current Balance</t>
  </si>
  <si>
    <t>Projected EOM Balance</t>
  </si>
  <si>
    <t>Deposit/Withdrawal</t>
  </si>
  <si>
    <t>Interest</t>
  </si>
  <si>
    <t>Savings - ending</t>
  </si>
  <si>
    <t>Securities offered through 1st Global Capital Corp., Member FINRA, SIPC</t>
  </si>
  <si>
    <t>Investment advisory services offered through 1st Global Advisors, Inc.</t>
  </si>
  <si>
    <t>Insurance Services offered through 1st Global Insurance Services, Inc.</t>
  </si>
  <si>
    <t>Type</t>
  </si>
  <si>
    <t>Category</t>
  </si>
  <si>
    <t>Paycheck</t>
  </si>
  <si>
    <t>Bills And Utilities</t>
  </si>
  <si>
    <t>Account/Transfer</t>
  </si>
  <si>
    <t>Months</t>
  </si>
  <si>
    <t xml:space="preserve"> May  </t>
  </si>
  <si>
    <t xml:space="preserve"> July  </t>
  </si>
  <si>
    <t xml:space="preserve"> Total </t>
  </si>
  <si>
    <t>I&amp;E Categories</t>
  </si>
  <si>
    <t>Projected</t>
  </si>
  <si>
    <t>Actual</t>
  </si>
  <si>
    <t>Variance</t>
  </si>
  <si>
    <t>Accum Savings</t>
  </si>
  <si>
    <t>Total Variation</t>
  </si>
  <si>
    <t>Variation by Month</t>
  </si>
  <si>
    <t>Savings Rate</t>
  </si>
  <si>
    <t>Spending Rate</t>
  </si>
  <si>
    <t>Bills</t>
  </si>
  <si>
    <t>Food</t>
  </si>
  <si>
    <t>Total Exp</t>
  </si>
  <si>
    <t>Equity</t>
  </si>
  <si>
    <t>IRA</t>
  </si>
  <si>
    <t>Lux 529</t>
  </si>
  <si>
    <t>Debt</t>
  </si>
  <si>
    <t>AT Income</t>
  </si>
  <si>
    <t>Pretax Inc</t>
  </si>
  <si>
    <t>Com-Size</t>
  </si>
  <si>
    <t>Tax Rate</t>
  </si>
  <si>
    <t>IRA Annual Contribution</t>
  </si>
  <si>
    <t>PV</t>
  </si>
  <si>
    <t>Pmt</t>
  </si>
  <si>
    <t>FV</t>
  </si>
  <si>
    <t>I/Y</t>
  </si>
  <si>
    <t>N (month)</t>
  </si>
  <si>
    <t>APR at 20 yrs</t>
  </si>
  <si>
    <t>IRA FV</t>
  </si>
  <si>
    <t>529 FV</t>
  </si>
  <si>
    <t>529 Monthly Contribution</t>
  </si>
  <si>
    <t>Pmt (Annual divided)</t>
  </si>
  <si>
    <t>APR at 17 yrs</t>
  </si>
  <si>
    <t>Checking Accounts</t>
  </si>
  <si>
    <t>Transportation</t>
  </si>
  <si>
    <t>Immigration</t>
  </si>
  <si>
    <t>WSJ</t>
  </si>
  <si>
    <t>Expense</t>
  </si>
  <si>
    <t>Bills and Utilities</t>
  </si>
  <si>
    <t>Rent</t>
  </si>
  <si>
    <t>Investments</t>
  </si>
  <si>
    <t>Net Worth</t>
  </si>
  <si>
    <t>Jan</t>
  </si>
  <si>
    <t>Categories</t>
  </si>
  <si>
    <t>Total Balance</t>
  </si>
  <si>
    <t>Debt - ending</t>
  </si>
  <si>
    <t>Invest - ending</t>
  </si>
  <si>
    <t>Debt (Transunion)</t>
  </si>
  <si>
    <t>Inv. (RH, TSP, CB, M1)</t>
  </si>
  <si>
    <t>Check</t>
  </si>
  <si>
    <t>AT&amp;T Prepaid</t>
  </si>
  <si>
    <t>Card</t>
  </si>
  <si>
    <t>Walgreens - Passport Photos</t>
  </si>
  <si>
    <t>Walmart</t>
  </si>
  <si>
    <t>Target - Belt</t>
  </si>
  <si>
    <t>College Transcript</t>
  </si>
  <si>
    <t>Interest - Aspiration</t>
  </si>
  <si>
    <t>K1 Visa</t>
  </si>
  <si>
    <t>Barnes &amp; Noble</t>
  </si>
  <si>
    <t>Gas</t>
  </si>
  <si>
    <t>Transferwise</t>
  </si>
  <si>
    <t>Amazon: Valentine's</t>
  </si>
  <si>
    <t>Interest - FNBO</t>
  </si>
  <si>
    <t>Walmart: hygienic products</t>
  </si>
  <si>
    <t>Great Clips</t>
  </si>
  <si>
    <t>S Mart: Beer</t>
  </si>
  <si>
    <t>Amazon Prime</t>
  </si>
  <si>
    <t>McCallister's</t>
  </si>
  <si>
    <t>Feb</t>
  </si>
  <si>
    <t>Mar</t>
  </si>
  <si>
    <t>Groceries And Dining</t>
  </si>
  <si>
    <t>Target: Clothes</t>
  </si>
  <si>
    <t>Cash Back Rewards - Aspiration</t>
  </si>
  <si>
    <t>Twigby: Cell plan</t>
  </si>
  <si>
    <t>Transferwise: ACH transfer</t>
  </si>
  <si>
    <t>Amazon: Prime</t>
  </si>
  <si>
    <t>Amazon: Coolant</t>
  </si>
  <si>
    <t>Check Deposit</t>
  </si>
  <si>
    <t>Transfer into Aspiration</t>
  </si>
  <si>
    <t>Pai Iso</t>
  </si>
  <si>
    <t>ATM fee - Aspiration</t>
  </si>
  <si>
    <t>ACH Withdrawal</t>
  </si>
  <si>
    <t>Stop Mart</t>
  </si>
  <si>
    <t>Transfer to FNBO</t>
  </si>
  <si>
    <t>Walgreens</t>
  </si>
  <si>
    <t>USPS</t>
  </si>
  <si>
    <t>Twigby</t>
  </si>
  <si>
    <t>UPS</t>
  </si>
  <si>
    <t>Starbucks</t>
  </si>
  <si>
    <t>Check deposit: Fedex</t>
  </si>
  <si>
    <t>Spirit Airlines: baggage</t>
  </si>
  <si>
    <t>Agoda</t>
  </si>
  <si>
    <t>Lyft</t>
  </si>
  <si>
    <t>ATM Withdrawal: San Jose BNB</t>
  </si>
  <si>
    <t>China Visa</t>
  </si>
  <si>
    <t>Cashback Rewards - Aspiration</t>
  </si>
  <si>
    <t>ATM Withdrawal: Calapan</t>
  </si>
  <si>
    <t>Coinbase</t>
  </si>
  <si>
    <t>Premium Parking</t>
  </si>
  <si>
    <t>Unknown - transfer from Aspiration to FNBO</t>
  </si>
  <si>
    <t>Apr</t>
  </si>
  <si>
    <t>May</t>
  </si>
  <si>
    <t>Jun</t>
  </si>
  <si>
    <t>Jul</t>
  </si>
  <si>
    <t>Cebu Pacific Air</t>
  </si>
  <si>
    <t>Sum of Amount</t>
  </si>
  <si>
    <t>Row Labels</t>
  </si>
  <si>
    <t>Grand Total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</si>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</sst>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  <numFmt numFmtId="165" formatCode="0.0%"/>
    <numFmt numFmtId="166" formatCode="#,##0.0_);\(#,##0.0\)"/>
    <numFmt numFmtId="167" formatCode="_(&quot;$&quot;* #,##0.0_);_(&quot;$&quot;* \(#,##0.0\);_(&quot;$&quot;* &quot;-&quot;??_);_(@_)"/>
    <numFmt numFmtId="168" formatCode="yyyy\-mm\-dd;@"/>
  </numFmts>
  <fonts count="29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color indexed="9"/>
      <name val="Arial"/>
      <family val="2"/>
    </font>
    <font>
      <b/>
      <sz val="1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  <font>
      <sz val="10"/>
      <color rgb="FF333333"/>
      <name val="Verdana"/>
      <family val="2"/>
    </font>
    <font>
      <b/>
      <sz val="12"/>
      <color rgb="FF0A0101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sz val="11"/>
      <color theme="1"/>
      <name val="LFT Etica"/>
      <family val="3"/>
    </font>
    <font>
      <sz val="11"/>
      <color rgb="FF0000FF"/>
      <name val="LFT Etica"/>
      <family val="3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55"/>
      </left>
      <right style="thin">
        <color indexed="55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55"/>
      </left>
      <right/>
      <top/>
      <bottom/>
      <diagonal/>
    </border>
    <border>
      <left style="thin">
        <color indexed="55"/>
      </left>
      <right/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5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</borders>
  <cellStyleXfs count="11">
    <xf numFmtId="0" fontId="0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3" fillId="9" borderId="0" applyNumberFormat="0" applyBorder="0" applyAlignment="0" applyProtection="0"/>
    <xf numFmtId="0" fontId="1" fillId="10" borderId="0" applyNumberFormat="0" applyBorder="0" applyAlignment="0" applyProtection="0"/>
    <xf numFmtId="0" fontId="13" fillId="11" borderId="0" applyNumberFormat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61">
    <xf numFmtId="0" fontId="0" fillId="0" borderId="0" xfId="0"/>
    <xf numFmtId="0" fontId="8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wrapText="1"/>
    </xf>
    <xf numFmtId="0" fontId="8" fillId="2" borderId="1" xfId="0" applyFont="1" applyFill="1" applyBorder="1"/>
    <xf numFmtId="0" fontId="5" fillId="0" borderId="2" xfId="0" applyFont="1" applyBorder="1" applyAlignment="1">
      <alignment horizontal="left"/>
    </xf>
    <xf numFmtId="0" fontId="6" fillId="0" borderId="0" xfId="0" applyFont="1"/>
    <xf numFmtId="164" fontId="4" fillId="0" borderId="2" xfId="0" applyNumberFormat="1" applyFont="1" applyBorder="1" applyAlignment="1">
      <alignment horizontal="right"/>
    </xf>
    <xf numFmtId="0" fontId="4" fillId="0" borderId="2" xfId="0" applyFont="1" applyBorder="1" applyAlignment="1">
      <alignment horizontal="left"/>
    </xf>
    <xf numFmtId="4" fontId="4" fillId="0" borderId="2" xfId="0" applyNumberFormat="1" applyFont="1" applyBorder="1" applyAlignment="1">
      <alignment horizontal="right"/>
    </xf>
    <xf numFmtId="164" fontId="4" fillId="0" borderId="2" xfId="0" applyNumberFormat="1" applyFont="1" applyBorder="1" applyAlignment="1">
      <alignment horizontal="left"/>
    </xf>
    <xf numFmtId="0" fontId="6" fillId="0" borderId="0" xfId="1" applyFont="1" applyAlignment="1">
      <alignment horizontal="center"/>
    </xf>
    <xf numFmtId="43" fontId="6" fillId="0" borderId="0" xfId="2" applyFont="1" applyAlignment="1">
      <alignment horizontal="center"/>
    </xf>
    <xf numFmtId="43" fontId="10" fillId="2" borderId="3" xfId="2" applyFont="1" applyFill="1" applyBorder="1"/>
    <xf numFmtId="0" fontId="10" fillId="2" borderId="0" xfId="1" applyFont="1" applyFill="1"/>
    <xf numFmtId="43" fontId="2" fillId="0" borderId="0" xfId="2"/>
    <xf numFmtId="43" fontId="10" fillId="3" borderId="3" xfId="2" applyFont="1" applyFill="1" applyBorder="1"/>
    <xf numFmtId="0" fontId="10" fillId="3" borderId="0" xfId="1" applyFont="1" applyFill="1"/>
    <xf numFmtId="43" fontId="10" fillId="5" borderId="3" xfId="2" applyFont="1" applyFill="1" applyBorder="1"/>
    <xf numFmtId="0" fontId="10" fillId="5" borderId="0" xfId="1" applyFont="1" applyFill="1"/>
    <xf numFmtId="0" fontId="6" fillId="0" borderId="0" xfId="1" applyFont="1"/>
    <xf numFmtId="4" fontId="4" fillId="0" borderId="4" xfId="0" applyNumberFormat="1" applyFont="1" applyBorder="1" applyAlignment="1">
      <alignment horizontal="right"/>
    </xf>
    <xf numFmtId="0" fontId="4" fillId="0" borderId="4" xfId="0" applyFont="1" applyBorder="1" applyAlignment="1">
      <alignment horizontal="right"/>
    </xf>
    <xf numFmtId="2" fontId="5" fillId="0" borderId="5" xfId="0" applyNumberFormat="1" applyFont="1" applyBorder="1" applyAlignment="1">
      <alignment horizontal="right"/>
    </xf>
    <xf numFmtId="2" fontId="4" fillId="0" borderId="4" xfId="0" applyNumberFormat="1" applyFont="1" applyBorder="1" applyAlignment="1">
      <alignment horizontal="right"/>
    </xf>
    <xf numFmtId="4" fontId="12" fillId="6" borderId="6" xfId="0" applyNumberFormat="1" applyFont="1" applyFill="1" applyBorder="1" applyAlignment="1">
      <alignment horizontal="right"/>
    </xf>
    <xf numFmtId="164" fontId="12" fillId="6" borderId="6" xfId="0" applyNumberFormat="1" applyFont="1" applyFill="1" applyBorder="1" applyAlignment="1">
      <alignment horizontal="right"/>
    </xf>
    <xf numFmtId="164" fontId="12" fillId="6" borderId="6" xfId="0" applyNumberFormat="1" applyFont="1" applyFill="1" applyBorder="1" applyAlignment="1">
      <alignment horizontal="left"/>
    </xf>
    <xf numFmtId="4" fontId="12" fillId="6" borderId="7" xfId="0" applyNumberFormat="1" applyFont="1" applyFill="1" applyBorder="1" applyAlignment="1">
      <alignment horizontal="right"/>
    </xf>
    <xf numFmtId="164" fontId="4" fillId="6" borderId="2" xfId="0" applyNumberFormat="1" applyFont="1" applyFill="1" applyBorder="1" applyAlignment="1">
      <alignment horizontal="right"/>
    </xf>
    <xf numFmtId="164" fontId="4" fillId="6" borderId="2" xfId="0" applyNumberFormat="1" applyFont="1" applyFill="1" applyBorder="1" applyAlignment="1">
      <alignment horizontal="left"/>
    </xf>
    <xf numFmtId="4" fontId="4" fillId="6" borderId="2" xfId="0" applyNumberFormat="1" applyFont="1" applyFill="1" applyBorder="1" applyAlignment="1">
      <alignment horizontal="right"/>
    </xf>
    <xf numFmtId="2" fontId="4" fillId="6" borderId="4" xfId="0" applyNumberFormat="1" applyFont="1" applyFill="1" applyBorder="1" applyAlignment="1">
      <alignment horizontal="right"/>
    </xf>
    <xf numFmtId="0" fontId="7" fillId="0" borderId="2" xfId="0" applyFont="1" applyBorder="1" applyAlignment="1">
      <alignment horizontal="right"/>
    </xf>
    <xf numFmtId="0" fontId="7" fillId="0" borderId="2" xfId="0" applyFont="1" applyBorder="1" applyAlignment="1">
      <alignment horizontal="left"/>
    </xf>
    <xf numFmtId="0" fontId="7" fillId="0" borderId="0" xfId="0" applyFont="1"/>
    <xf numFmtId="0" fontId="6" fillId="0" borderId="10" xfId="1" applyFont="1" applyBorder="1"/>
    <xf numFmtId="0" fontId="9" fillId="0" borderId="8" xfId="1" applyFont="1" applyBorder="1" applyAlignment="1">
      <alignment horizontal="center"/>
    </xf>
    <xf numFmtId="43" fontId="9" fillId="0" borderId="8" xfId="2" applyFont="1" applyBorder="1" applyAlignment="1">
      <alignment horizontal="center"/>
    </xf>
    <xf numFmtId="0" fontId="9" fillId="0" borderId="8" xfId="1" applyFont="1" applyBorder="1"/>
    <xf numFmtId="43" fontId="15" fillId="2" borderId="9" xfId="2" applyFont="1" applyFill="1" applyBorder="1"/>
    <xf numFmtId="43" fontId="9" fillId="0" borderId="8" xfId="1" applyNumberFormat="1" applyFont="1" applyBorder="1"/>
    <xf numFmtId="43" fontId="15" fillId="3" borderId="9" xfId="2" applyFont="1" applyFill="1" applyBorder="1"/>
    <xf numFmtId="43" fontId="9" fillId="4" borderId="9" xfId="2" applyFont="1" applyFill="1" applyBorder="1"/>
    <xf numFmtId="43" fontId="9" fillId="0" borderId="8" xfId="2" applyFont="1" applyBorder="1"/>
    <xf numFmtId="43" fontId="15" fillId="5" borderId="9" xfId="2" applyFont="1" applyFill="1" applyBorder="1"/>
    <xf numFmtId="0" fontId="2" fillId="0" borderId="0" xfId="1"/>
    <xf numFmtId="0" fontId="2" fillId="0" borderId="0" xfId="1" applyAlignment="1">
      <alignment horizontal="center"/>
    </xf>
    <xf numFmtId="0" fontId="14" fillId="7" borderId="0" xfId="4" applyFont="1"/>
    <xf numFmtId="0" fontId="14" fillId="7" borderId="10" xfId="4" applyFont="1" applyBorder="1"/>
    <xf numFmtId="43" fontId="17" fillId="7" borderId="0" xfId="4" applyNumberFormat="1" applyFont="1"/>
    <xf numFmtId="0" fontId="14" fillId="7" borderId="8" xfId="4" applyFont="1" applyBorder="1"/>
    <xf numFmtId="0" fontId="17" fillId="7" borderId="0" xfId="4" applyFont="1"/>
    <xf numFmtId="43" fontId="14" fillId="7" borderId="8" xfId="4" applyNumberFormat="1" applyFont="1" applyBorder="1"/>
    <xf numFmtId="0" fontId="14" fillId="8" borderId="0" xfId="5" applyFont="1"/>
    <xf numFmtId="0" fontId="14" fillId="8" borderId="10" xfId="5" applyFont="1" applyBorder="1"/>
    <xf numFmtId="43" fontId="17" fillId="8" borderId="0" xfId="5" applyNumberFormat="1" applyFont="1"/>
    <xf numFmtId="0" fontId="14" fillId="8" borderId="8" xfId="5" applyFont="1" applyBorder="1"/>
    <xf numFmtId="0" fontId="17" fillId="8" borderId="0" xfId="5" applyFont="1"/>
    <xf numFmtId="43" fontId="14" fillId="8" borderId="8" xfId="5" applyNumberFormat="1" applyFont="1" applyBorder="1"/>
    <xf numFmtId="43" fontId="2" fillId="4" borderId="3" xfId="2" applyFill="1" applyBorder="1"/>
    <xf numFmtId="0" fontId="2" fillId="4" borderId="0" xfId="1" applyFill="1"/>
    <xf numFmtId="0" fontId="17" fillId="10" borderId="0" xfId="7" applyFont="1"/>
    <xf numFmtId="43" fontId="17" fillId="10" borderId="0" xfId="7" applyNumberFormat="1" applyFont="1"/>
    <xf numFmtId="0" fontId="14" fillId="10" borderId="8" xfId="7" applyFont="1" applyBorder="1"/>
    <xf numFmtId="43" fontId="14" fillId="10" borderId="8" xfId="7" applyNumberFormat="1" applyFont="1" applyBorder="1"/>
    <xf numFmtId="43" fontId="2" fillId="0" borderId="0" xfId="1" applyNumberFormat="1"/>
    <xf numFmtId="43" fontId="2" fillId="0" borderId="0" xfId="1" applyNumberFormat="1" applyAlignment="1">
      <alignment horizontal="right"/>
    </xf>
    <xf numFmtId="0" fontId="11" fillId="2" borderId="3" xfId="1" applyFont="1" applyFill="1" applyBorder="1"/>
    <xf numFmtId="0" fontId="11" fillId="2" borderId="11" xfId="1" applyFont="1" applyFill="1" applyBorder="1"/>
    <xf numFmtId="0" fontId="11" fillId="3" borderId="3" xfId="1" applyFont="1" applyFill="1" applyBorder="1"/>
    <xf numFmtId="0" fontId="11" fillId="3" borderId="11" xfId="1" applyFont="1" applyFill="1" applyBorder="1"/>
    <xf numFmtId="0" fontId="6" fillId="4" borderId="3" xfId="1" applyFont="1" applyFill="1" applyBorder="1"/>
    <xf numFmtId="0" fontId="6" fillId="4" borderId="11" xfId="1" applyFont="1" applyFill="1" applyBorder="1"/>
    <xf numFmtId="0" fontId="11" fillId="5" borderId="3" xfId="1" applyFont="1" applyFill="1" applyBorder="1"/>
    <xf numFmtId="0" fontId="11" fillId="5" borderId="11" xfId="1" applyFont="1" applyFill="1" applyBorder="1"/>
    <xf numFmtId="0" fontId="14" fillId="10" borderId="0" xfId="7" applyFont="1"/>
    <xf numFmtId="0" fontId="14" fillId="10" borderId="10" xfId="7" applyFont="1" applyBorder="1"/>
    <xf numFmtId="0" fontId="6" fillId="0" borderId="0" xfId="1" applyFont="1" applyAlignment="1">
      <alignment horizontal="left" vertical="center"/>
    </xf>
    <xf numFmtId="0" fontId="16" fillId="11" borderId="3" xfId="8" applyFont="1" applyBorder="1"/>
    <xf numFmtId="0" fontId="16" fillId="11" borderId="11" xfId="8" applyFont="1" applyBorder="1"/>
    <xf numFmtId="43" fontId="16" fillId="11" borderId="3" xfId="8" applyNumberFormat="1" applyFont="1" applyBorder="1"/>
    <xf numFmtId="0" fontId="16" fillId="11" borderId="8" xfId="8" applyFont="1" applyBorder="1"/>
    <xf numFmtId="0" fontId="16" fillId="11" borderId="0" xfId="8" applyFont="1"/>
    <xf numFmtId="0" fontId="9" fillId="9" borderId="3" xfId="6" applyFont="1" applyBorder="1"/>
    <xf numFmtId="0" fontId="9" fillId="9" borderId="11" xfId="6" applyFont="1" applyBorder="1"/>
    <xf numFmtId="43" fontId="9" fillId="9" borderId="3" xfId="6" applyNumberFormat="1" applyFont="1" applyBorder="1"/>
    <xf numFmtId="43" fontId="9" fillId="9" borderId="8" xfId="6" applyNumberFormat="1" applyFont="1" applyBorder="1"/>
    <xf numFmtId="0" fontId="9" fillId="9" borderId="0" xfId="6" applyFont="1"/>
    <xf numFmtId="0" fontId="9" fillId="9" borderId="8" xfId="6" applyFont="1" applyBorder="1"/>
    <xf numFmtId="0" fontId="0" fillId="0" borderId="0" xfId="0" pivotButton="1"/>
    <xf numFmtId="43" fontId="0" fillId="0" borderId="0" xfId="0" applyNumberFormat="1"/>
    <xf numFmtId="0" fontId="5" fillId="0" borderId="2" xfId="0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Alignment="1">
      <alignment horizontal="right"/>
    </xf>
    <xf numFmtId="43" fontId="0" fillId="0" borderId="0" xfId="9" applyNumberFormat="1" applyFont="1"/>
    <xf numFmtId="0" fontId="19" fillId="0" borderId="0" xfId="0" applyFont="1"/>
    <xf numFmtId="0" fontId="20" fillId="0" borderId="0" xfId="0" applyFont="1"/>
    <xf numFmtId="4" fontId="0" fillId="0" borderId="0" xfId="0" applyNumberFormat="1"/>
    <xf numFmtId="43" fontId="0" fillId="0" borderId="0" xfId="3" applyFont="1"/>
    <xf numFmtId="39" fontId="6" fillId="0" borderId="0" xfId="0" applyNumberFormat="1" applyFont="1"/>
    <xf numFmtId="9" fontId="0" fillId="0" borderId="0" xfId="9" applyFont="1"/>
    <xf numFmtId="166" fontId="0" fillId="0" borderId="0" xfId="0" applyNumberFormat="1"/>
    <xf numFmtId="166" fontId="23" fillId="14" borderId="0" xfId="0" applyNumberFormat="1" applyFont="1" applyFill="1"/>
    <xf numFmtId="166" fontId="6" fillId="0" borderId="0" xfId="0" applyNumberFormat="1" applyFont="1"/>
    <xf numFmtId="166" fontId="6" fillId="0" borderId="0" xfId="0" applyNumberFormat="1" applyFont="1" applyAlignment="1">
      <alignment horizontal="centerContinuous"/>
    </xf>
    <xf numFmtId="166" fontId="0" fillId="0" borderId="12" xfId="0" applyNumberFormat="1" applyBorder="1"/>
    <xf numFmtId="166" fontId="24" fillId="15" borderId="0" xfId="10" applyNumberFormat="1" applyFont="1" applyFill="1"/>
    <xf numFmtId="166" fontId="0" fillId="0" borderId="10" xfId="0" applyNumberFormat="1" applyBorder="1"/>
    <xf numFmtId="166" fontId="6" fillId="0" borderId="0" xfId="0" applyNumberFormat="1" applyFont="1" applyAlignment="1">
      <alignment horizontal="right"/>
    </xf>
    <xf numFmtId="166" fontId="6" fillId="0" borderId="10" xfId="0" applyNumberFormat="1" applyFont="1" applyBorder="1"/>
    <xf numFmtId="166" fontId="0" fillId="0" borderId="0" xfId="9" applyNumberFormat="1" applyFont="1"/>
    <xf numFmtId="166" fontId="22" fillId="0" borderId="14" xfId="0" applyNumberFormat="1" applyFont="1" applyBorder="1"/>
    <xf numFmtId="167" fontId="6" fillId="0" borderId="0" xfId="10" applyNumberFormat="1" applyFont="1"/>
    <xf numFmtId="167" fontId="0" fillId="0" borderId="0" xfId="10" applyNumberFormat="1" applyFont="1"/>
    <xf numFmtId="165" fontId="0" fillId="0" borderId="15" xfId="9" applyNumberFormat="1" applyFont="1" applyBorder="1"/>
    <xf numFmtId="165" fontId="0" fillId="0" borderId="8" xfId="9" applyNumberFormat="1" applyFont="1" applyBorder="1"/>
    <xf numFmtId="165" fontId="6" fillId="0" borderId="8" xfId="9" applyNumberFormat="1" applyFont="1" applyBorder="1"/>
    <xf numFmtId="165" fontId="22" fillId="0" borderId="13" xfId="9" applyNumberFormat="1" applyFont="1" applyBorder="1"/>
    <xf numFmtId="0" fontId="6" fillId="0" borderId="0" xfId="0" applyFont="1" applyAlignment="1">
      <alignment horizontal="right"/>
    </xf>
    <xf numFmtId="9" fontId="24" fillId="15" borderId="0" xfId="9" applyFont="1" applyFill="1"/>
    <xf numFmtId="166" fontId="0" fillId="0" borderId="0" xfId="0" applyNumberFormat="1" applyAlignment="1">
      <alignment horizontal="centerContinuous"/>
    </xf>
    <xf numFmtId="43" fontId="17" fillId="16" borderId="0" xfId="7" applyNumberFormat="1" applyFont="1" applyFill="1"/>
    <xf numFmtId="43" fontId="7" fillId="0" borderId="4" xfId="0" applyNumberFormat="1" applyFont="1" applyBorder="1" applyAlignment="1">
      <alignment horizontal="right"/>
    </xf>
    <xf numFmtId="4" fontId="5" fillId="0" borderId="2" xfId="0" applyNumberFormat="1" applyFont="1" applyBorder="1" applyAlignment="1">
      <alignment horizontal="right"/>
    </xf>
    <xf numFmtId="0" fontId="25" fillId="0" borderId="0" xfId="7" applyFont="1" applyFill="1" applyAlignment="1">
      <alignment horizontal="right"/>
    </xf>
    <xf numFmtId="43" fontId="11" fillId="0" borderId="16" xfId="0" applyNumberFormat="1" applyFont="1" applyBorder="1"/>
    <xf numFmtId="43" fontId="11" fillId="0" borderId="17" xfId="0" applyNumberFormat="1" applyFont="1" applyBorder="1"/>
    <xf numFmtId="0" fontId="26" fillId="0" borderId="0" xfId="7" applyFont="1" applyFill="1" applyAlignment="1">
      <alignment horizontal="left"/>
    </xf>
    <xf numFmtId="0" fontId="5" fillId="0" borderId="0" xfId="0" applyFont="1"/>
    <xf numFmtId="43" fontId="6" fillId="16" borderId="0" xfId="3" applyFont="1" applyFill="1"/>
    <xf numFmtId="43" fontId="25" fillId="0" borderId="0" xfId="3" applyFont="1" applyAlignment="1">
      <alignment horizontal="right"/>
    </xf>
    <xf numFmtId="43" fontId="0" fillId="16" borderId="0" xfId="3" applyFont="1" applyFill="1"/>
    <xf numFmtId="43" fontId="26" fillId="0" borderId="0" xfId="3" applyFont="1" applyAlignment="1">
      <alignment horizontal="right"/>
    </xf>
    <xf numFmtId="43" fontId="6" fillId="0" borderId="0" xfId="3" applyFont="1"/>
    <xf numFmtId="0" fontId="21" fillId="0" borderId="0" xfId="0" applyFont="1"/>
    <xf numFmtId="43" fontId="7" fillId="0" borderId="0" xfId="3" applyFont="1"/>
    <xf numFmtId="0" fontId="27" fillId="18" borderId="0" xfId="0" applyFont="1" applyFill="1"/>
    <xf numFmtId="0" fontId="27" fillId="17" borderId="0" xfId="0" applyFont="1" applyFill="1" applyAlignment="1">
      <alignment horizontal="center"/>
    </xf>
    <xf numFmtId="0" fontId="27" fillId="12" borderId="0" xfId="0" applyFont="1" applyFill="1" applyAlignment="1">
      <alignment horizontal="center"/>
    </xf>
    <xf numFmtId="0" fontId="28" fillId="17" borderId="0" xfId="0" applyFont="1" applyFill="1"/>
    <xf numFmtId="0" fontId="28" fillId="12" borderId="0" xfId="0" applyFont="1" applyFill="1"/>
    <xf numFmtId="43" fontId="28" fillId="17" borderId="0" xfId="3" applyFont="1" applyFill="1"/>
    <xf numFmtId="43" fontId="28" fillId="12" borderId="0" xfId="3" applyFont="1" applyFill="1"/>
    <xf numFmtId="10" fontId="28" fillId="17" borderId="0" xfId="9" applyNumberFormat="1" applyFont="1" applyFill="1"/>
    <xf numFmtId="10" fontId="28" fillId="12" borderId="0" xfId="9" applyNumberFormat="1" applyFont="1" applyFill="1"/>
    <xf numFmtId="43" fontId="27" fillId="12" borderId="0" xfId="3" applyFont="1" applyFill="1"/>
    <xf numFmtId="43" fontId="2" fillId="16" borderId="3" xfId="2" applyFill="1" applyBorder="1"/>
    <xf numFmtId="168" fontId="8" fillId="2" borderId="1" xfId="0" applyNumberFormat="1" applyFont="1" applyFill="1" applyBorder="1" applyAlignment="1">
      <alignment horizontal="center"/>
    </xf>
    <xf numFmtId="168" fontId="5" fillId="0" borderId="2" xfId="0" applyNumberFormat="1" applyFont="1" applyBorder="1" applyAlignment="1">
      <alignment horizontal="right"/>
    </xf>
    <xf numFmtId="168" fontId="4" fillId="0" borderId="2" xfId="0" applyNumberFormat="1" applyFont="1" applyBorder="1" applyAlignment="1">
      <alignment horizontal="right"/>
    </xf>
    <xf numFmtId="168" fontId="12" fillId="6" borderId="6" xfId="0" applyNumberFormat="1" applyFont="1" applyFill="1" applyBorder="1" applyAlignment="1">
      <alignment horizontal="right"/>
    </xf>
    <xf numFmtId="168" fontId="4" fillId="6" borderId="2" xfId="0" applyNumberFormat="1" applyFont="1" applyFill="1" applyBorder="1" applyAlignment="1">
      <alignment horizontal="right"/>
    </xf>
    <xf numFmtId="168" fontId="7" fillId="0" borderId="2" xfId="0" applyNumberFormat="1" applyFont="1" applyBorder="1" applyAlignment="1">
      <alignment horizontal="right"/>
    </xf>
    <xf numFmtId="168" fontId="0" fillId="0" borderId="0" xfId="0" applyNumberFormat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1" fillId="12" borderId="0" xfId="0" applyFont="1" applyFill="1" applyAlignment="1">
      <alignment horizontal="center"/>
    </xf>
    <xf numFmtId="0" fontId="11" fillId="13" borderId="0" xfId="0" applyFont="1" applyFill="1" applyAlignment="1">
      <alignment horizontal="center"/>
    </xf>
    <xf numFmtId="0" fontId="3" fillId="0" borderId="0" xfId="1" applyFont="1" applyAlignment="1">
      <alignment vertical="center"/>
    </xf>
    <xf numFmtId="0" fontId="3" fillId="0" borderId="10" xfId="1" applyFont="1" applyBorder="1" applyAlignment="1">
      <alignment vertical="center"/>
    </xf>
  </cellXfs>
  <cellStyles count="11">
    <cellStyle name="20% - Accent1" xfId="4" builtinId="30"/>
    <cellStyle name="20% - Accent2" xfId="5" builtinId="34"/>
    <cellStyle name="20% - Accent3" xfId="7" builtinId="38"/>
    <cellStyle name="Accent3" xfId="6" builtinId="37"/>
    <cellStyle name="Accent6" xfId="8" builtinId="49"/>
    <cellStyle name="Comma" xfId="3" builtinId="3"/>
    <cellStyle name="Comma 3" xfId="2" xr:uid="{9A3CBEFF-DE59-46E2-9322-6CE4C84A1DCF}"/>
    <cellStyle name="Currency" xfId="10" builtinId="4"/>
    <cellStyle name="Normal" xfId="0" builtinId="0"/>
    <cellStyle name="Normal 3" xfId="1" xr:uid="{312497A8-CE2D-4A08-A035-3B53DCA62FAE}"/>
    <cellStyle name="Percent" xfId="9" builtinId="5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35" formatCode="_(* #,##0.00_);_(* \(#,##0.00\);_(* &quot;-&quot;??_);_(@_)"/>
      <fill>
        <patternFill patternType="none">
          <fgColor theme="7"/>
          <bgColor auto="1"/>
        </patternFill>
      </fill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5" formatCode="_(* #,##0.00_);_(* \(#,##0.00\);_(* &quot;-&quot;??_);_(@_)"/>
      <alignment horizontal="right" vertical="bottom" textRotation="0" wrapText="0" indent="0" justifyLastLine="0" shrinkToFit="0" readingOrder="0"/>
      <border diagonalUp="0" diagonalDown="0" outline="0">
        <left style="thin">
          <color indexed="55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55"/>
        </left>
        <right style="thin">
          <color indexed="5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55"/>
        </left>
        <right style="thin">
          <color indexed="5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55"/>
        </left>
        <right style="thin">
          <color indexed="5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m/d/yy;@"/>
      <alignment horizontal="left" vertical="bottom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55"/>
        </left>
        <right style="thin">
          <color indexed="5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m/d/yy;@"/>
      <alignment horizontal="right" vertical="bottom" textRotation="0" wrapText="0" indent="0" justifyLastLine="0" shrinkToFit="0" readingOrder="0"/>
      <border diagonalUp="0" diagonalDown="0" outline="0">
        <left style="thin">
          <color indexed="55"/>
        </left>
        <right style="thin">
          <color indexed="5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yyyy\-mm\-dd;@"/>
      <alignment horizontal="right" vertical="bottom" textRotation="0" wrapText="0" indent="0" justifyLastLine="0" shrinkToFit="0" readingOrder="0"/>
      <border diagonalUp="0" diagonalDown="0" outline="0">
        <left style="thin">
          <color indexed="55"/>
        </left>
        <right style="thin">
          <color indexed="5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8" formatCode="yyyy\-mm\-dd;@"/>
      <alignment horizontal="right" vertical="bottom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condense val="0"/>
        <extend val="0"/>
      </font>
      <fill>
        <patternFill>
          <bgColor theme="0" tint="-4.9989318521683403E-2"/>
        </patternFill>
      </fill>
    </dxf>
    <dxf>
      <font>
        <condense val="0"/>
        <extend val="0"/>
      </font>
      <fill>
        <patternFill>
          <bgColor theme="0" tint="-4.9989318521683403E-2"/>
        </patternFill>
      </fill>
    </dxf>
    <dxf>
      <font>
        <condense val="0"/>
        <extend val="0"/>
      </font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Projected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'Projected CF'!$B$17:$B$27</c:f>
              <c:strCache>
                <c:ptCount val="11"/>
                <c:pt idx="0">
                  <c:v>Transportation</c:v>
                </c:pt>
                <c:pt idx="1">
                  <c:v>Bills And Utilities</c:v>
                </c:pt>
                <c:pt idx="2">
                  <c:v>Debt</c:v>
                </c:pt>
                <c:pt idx="3">
                  <c:v>Groceries And Dining</c:v>
                </c:pt>
                <c:pt idx="4">
                  <c:v>Home</c:v>
                </c:pt>
                <c:pt idx="5">
                  <c:v>Shopping</c:v>
                </c:pt>
                <c:pt idx="6">
                  <c:v>Immigration</c:v>
                </c:pt>
                <c:pt idx="7">
                  <c:v>Other</c:v>
                </c:pt>
                <c:pt idx="8">
                  <c:v>Expense 9</c:v>
                </c:pt>
                <c:pt idx="9">
                  <c:v>Expense 10</c:v>
                </c:pt>
                <c:pt idx="10">
                  <c:v>Expense 11</c:v>
                </c:pt>
              </c:strCache>
            </c:strRef>
          </c:cat>
          <c:val>
            <c:numRef>
              <c:f>Summary!$K$26:$K$36</c:f>
              <c:numCache>
                <c:formatCode>_(* #,##0.00_);_(* \(#,##0.00\);_(* "-"??_);_(@_)</c:formatCode>
                <c:ptCount val="11"/>
                <c:pt idx="0">
                  <c:v>650</c:v>
                </c:pt>
                <c:pt idx="1">
                  <c:v>348.94</c:v>
                </c:pt>
                <c:pt idx="2">
                  <c:v>5000</c:v>
                </c:pt>
                <c:pt idx="3">
                  <c:v>4500</c:v>
                </c:pt>
                <c:pt idx="4">
                  <c:v>6125</c:v>
                </c:pt>
                <c:pt idx="5">
                  <c:v>2250</c:v>
                </c:pt>
                <c:pt idx="6">
                  <c:v>4500</c:v>
                </c:pt>
                <c:pt idx="7">
                  <c:v>1500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D6-46F1-A97F-12E4C5A499B6}"/>
            </c:ext>
          </c:extLst>
        </c:ser>
        <c:ser>
          <c:idx val="1"/>
          <c:order val="1"/>
          <c:tx>
            <c:v>Actual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dLbl>
              <c:idx val="0"/>
              <c:layout>
                <c:manualLayout>
                  <c:x val="0"/>
                  <c:y val="-1.826484018264835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EE-4642-B4AE-4803320AD1B8}"/>
                </c:ext>
              </c:extLst>
            </c:dLbl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'Projected CF'!$B$17:$B$27</c:f>
              <c:strCache>
                <c:ptCount val="11"/>
                <c:pt idx="0">
                  <c:v>Transportation</c:v>
                </c:pt>
                <c:pt idx="1">
                  <c:v>Bills And Utilities</c:v>
                </c:pt>
                <c:pt idx="2">
                  <c:v>Debt</c:v>
                </c:pt>
                <c:pt idx="3">
                  <c:v>Groceries And Dining</c:v>
                </c:pt>
                <c:pt idx="4">
                  <c:v>Home</c:v>
                </c:pt>
                <c:pt idx="5">
                  <c:v>Shopping</c:v>
                </c:pt>
                <c:pt idx="6">
                  <c:v>Immigration</c:v>
                </c:pt>
                <c:pt idx="7">
                  <c:v>Other</c:v>
                </c:pt>
                <c:pt idx="8">
                  <c:v>Expense 9</c:v>
                </c:pt>
                <c:pt idx="9">
                  <c:v>Expense 10</c:v>
                </c:pt>
                <c:pt idx="10">
                  <c:v>Expense 11</c:v>
                </c:pt>
              </c:strCache>
            </c:strRef>
          </c:cat>
          <c:val>
            <c:numRef>
              <c:f>Summary!$L$26:$L$36</c:f>
              <c:numCache>
                <c:formatCode>General</c:formatCode>
                <c:ptCount val="11"/>
                <c:pt idx="0">
                  <c:v>364.58000000000004</c:v>
                </c:pt>
                <c:pt idx="1">
                  <c:v>180.51000000000002</c:v>
                </c:pt>
                <c:pt idx="2">
                  <c:v>0</c:v>
                </c:pt>
                <c:pt idx="3">
                  <c:v>42.15</c:v>
                </c:pt>
                <c:pt idx="4">
                  <c:v>770</c:v>
                </c:pt>
                <c:pt idx="5">
                  <c:v>260.49</c:v>
                </c:pt>
                <c:pt idx="6">
                  <c:v>692.18999999999994</c:v>
                </c:pt>
                <c:pt idx="7">
                  <c:v>1888.3700000000001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D6-46F1-A97F-12E4C5A499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660545768"/>
        <c:axId val="660546096"/>
      </c:barChart>
      <c:catAx>
        <c:axId val="660545768"/>
        <c:scaling>
          <c:orientation val="maxMin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546096"/>
        <c:crosses val="autoZero"/>
        <c:auto val="1"/>
        <c:lblAlgn val="ctr"/>
        <c:lblOffset val="100"/>
        <c:noMultiLvlLbl val="0"/>
      </c:catAx>
      <c:valAx>
        <c:axId val="660546096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545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B4-40F6-8BE7-158B9D620279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B4-40F6-8BE7-158B9D620279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B4-40F6-8BE7-158B9D620279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B4-40F6-8BE7-158B9D620279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DB4-40F6-8BE7-158B9D620279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DB4-40F6-8BE7-158B9D620279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DB4-40F6-8BE7-158B9D620279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DB4-40F6-8BE7-158B9D620279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DB4-40F6-8BE7-158B9D620279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DB4-40F6-8BE7-158B9D620279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DB4-40F6-8BE7-158B9D620279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Summary!$J$26:$J$36</c:f>
              <c:strCache>
                <c:ptCount val="11"/>
                <c:pt idx="0">
                  <c:v>Transportation</c:v>
                </c:pt>
                <c:pt idx="1">
                  <c:v>Bills And Utilities</c:v>
                </c:pt>
                <c:pt idx="2">
                  <c:v>Debt</c:v>
                </c:pt>
                <c:pt idx="3">
                  <c:v>Groceries And Dining</c:v>
                </c:pt>
                <c:pt idx="4">
                  <c:v>Home</c:v>
                </c:pt>
                <c:pt idx="5">
                  <c:v>Shopping</c:v>
                </c:pt>
                <c:pt idx="6">
                  <c:v>Immigration</c:v>
                </c:pt>
                <c:pt idx="7">
                  <c:v>Other</c:v>
                </c:pt>
                <c:pt idx="8">
                  <c:v>Expense 9</c:v>
                </c:pt>
                <c:pt idx="9">
                  <c:v>Expense 10</c:v>
                </c:pt>
                <c:pt idx="10">
                  <c:v>Expense 11</c:v>
                </c:pt>
              </c:strCache>
            </c:strRef>
          </c:cat>
          <c:val>
            <c:numRef>
              <c:f>Summary!$L$26:$L$36</c:f>
              <c:numCache>
                <c:formatCode>General</c:formatCode>
                <c:ptCount val="11"/>
                <c:pt idx="0">
                  <c:v>364.58000000000004</c:v>
                </c:pt>
                <c:pt idx="1">
                  <c:v>180.51000000000002</c:v>
                </c:pt>
                <c:pt idx="2">
                  <c:v>0</c:v>
                </c:pt>
                <c:pt idx="3">
                  <c:v>42.15</c:v>
                </c:pt>
                <c:pt idx="4">
                  <c:v>770</c:v>
                </c:pt>
                <c:pt idx="5">
                  <c:v>260.49</c:v>
                </c:pt>
                <c:pt idx="6">
                  <c:v>692.18999999999994</c:v>
                </c:pt>
                <c:pt idx="7">
                  <c:v>1888.3700000000001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1-44E8-A995-73C3AD4ECD3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600075</xdr:colOff>
      <xdr:row>0</xdr:row>
      <xdr:rowOff>85725</xdr:rowOff>
    </xdr:from>
    <xdr:to>
      <xdr:col>14</xdr:col>
      <xdr:colOff>114300</xdr:colOff>
      <xdr:row>19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179915</xdr:colOff>
      <xdr:row>19</xdr:row>
      <xdr:rowOff>9524</xdr:rowOff>
    </xdr:from>
    <xdr:to>
      <xdr:col>6</xdr:col>
      <xdr:colOff>730249</xdr:colOff>
      <xdr:row>37</xdr:row>
      <xdr:rowOff>52916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962025</xdr:colOff>
          <xdr:row>0</xdr:row>
          <xdr:rowOff>38100</xdr:rowOff>
        </xdr:from>
        <xdr:to>
          <xdr:col>2</xdr:col>
          <xdr:colOff>1733550</xdr:colOff>
          <xdr:row>0</xdr:row>
          <xdr:rowOff>304800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Data Entry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676.546869560188" createdVersion="6" refreshedVersion="6" minRefreshableVersion="3" recordCount="275" xr:uid="{77D8A14D-E746-4D66-9F93-87A844B63E2F}">
  <cacheSource type="worksheet">
    <worksheetSource name="Transactions"/>
  </cacheSource>
  <cacheFields count="12">
    <cacheField name="Date" numFmtId="168">
      <sharedItems containsNonDate="0" containsDate="1" containsString="0" containsBlank="1" minDate="2019-01-01T00:00:00" maxDate="2019-07-31T00:00:00" count="70">
        <d v="2019-01-01T00:00:00"/>
        <d v="2019-01-02T00:00:00"/>
        <d v="2019-01-03T00:00:00"/>
        <d v="2019-01-07T00:00:00"/>
        <d v="2019-01-10T00:00:00"/>
        <d v="2019-01-16T00:00:00"/>
        <d v="2019-01-18T00:00:00"/>
        <d v="2019-01-23T00:00:00"/>
        <d v="2019-01-29T00:00:00"/>
        <d v="2019-01-31T00:00:00"/>
        <d v="2019-02-02T00:00:00"/>
        <d v="2019-02-03T00:00:00"/>
        <d v="2019-02-05T00:00:00"/>
        <d v="2019-02-08T00:00:00"/>
        <d v="2019-02-20T00:00:00"/>
        <d v="2019-02-25T00:00:00"/>
        <d v="2019-02-27T00:00:00"/>
        <d v="2019-02-28T00:00:00"/>
        <d v="2019-03-01T00:00:00"/>
        <d v="2019-03-03T00:00:00"/>
        <d v="2019-03-07T00:00:00"/>
        <d v="2019-03-10T00:00:00"/>
        <d v="2019-03-11T00:00:00"/>
        <d v="2019-03-22T00:00:00"/>
        <d v="2019-03-24T00:00:00"/>
        <d v="2019-03-27T00:00:00"/>
        <d v="2019-03-29T00:00:00"/>
        <d v="2019-03-30T00:00:00"/>
        <d v="2019-04-01T00:00:00"/>
        <d v="2019-04-02T00:00:00"/>
        <d v="2019-04-03T00:00:00"/>
        <d v="2019-04-10T00:00:00"/>
        <d v="2019-04-11T00:00:00"/>
        <d v="2019-04-14T00:00:00"/>
        <d v="2019-04-22T00:00:00"/>
        <d v="2019-04-24T00:00:00"/>
        <d v="2019-04-25T00:00:00"/>
        <d v="2019-04-26T00:00:00"/>
        <d v="2019-04-28T00:00:00"/>
        <d v="2019-04-29T00:00:00"/>
        <d v="2019-04-30T00:00:00"/>
        <d v="2019-05-01T00:00:00"/>
        <d v="2019-05-02T00:00:00"/>
        <d v="2019-05-04T00:00:00"/>
        <d v="2019-05-06T00:00:00"/>
        <d v="2019-05-07T00:00:00"/>
        <d v="2019-05-08T00:00:00"/>
        <d v="2019-05-10T00:00:00"/>
        <d v="2019-05-11T00:00:00"/>
        <d v="2019-05-12T00:00:00"/>
        <d v="2019-05-13T00:00:00"/>
        <d v="2019-05-22T00:00:00"/>
        <d v="2019-05-24T00:00:00"/>
        <d v="2019-06-01T00:00:00"/>
        <d v="2019-06-03T00:00:00"/>
        <d v="2019-06-04T00:00:00"/>
        <d v="2019-06-09T00:00:00"/>
        <d v="2019-06-11T00:00:00"/>
        <d v="2019-06-21T00:00:00"/>
        <d v="2019-06-24T00:00:00"/>
        <d v="2019-06-25T00:00:00"/>
        <d v="2019-06-28T00:00:00"/>
        <d v="2019-06-30T00:00:00"/>
        <d v="2019-07-01T00:00:00"/>
        <d v="2019-07-03T00:00:00"/>
        <d v="2019-07-06T00:00:00"/>
        <d v="2019-07-10T00:00:00"/>
        <d v="2019-07-29T00:00:00"/>
        <d v="2019-07-30T00:00:00"/>
        <m/>
      </sharedItems>
      <fieldGroup par="6" base="0">
        <rangePr groupBy="days" startDate="2019-01-01T00:00:00" endDate="2019-07-31T00:00:00"/>
        <groupItems count="368">
          <s v="(blank)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31/2019"/>
        </groupItems>
      </fieldGroup>
    </cacheField>
    <cacheField name="Payment_x000a_Type" numFmtId="0">
      <sharedItems containsBlank="1"/>
    </cacheField>
    <cacheField name="Description" numFmtId="0">
      <sharedItems containsBlank="1" count="158">
        <s v="Starting Balance of the year"/>
        <s v="Rent"/>
        <s v="WSJ"/>
        <s v="Check"/>
        <s v="AT&amp;T Prepaid"/>
        <s v="Walgreens - Passport Photos"/>
        <s v="Walmart"/>
        <s v="Interest - Aspiration"/>
        <s v="Target - Belt"/>
        <s v="College Transcript"/>
        <s v="K1 Visa"/>
        <s v="Barnes &amp; Noble"/>
        <s v="Gas"/>
        <s v="Interest - FNBO"/>
        <s v="Transferwise"/>
        <s v="Amazon: Valentine's"/>
        <s v="Walmart: hygienic products"/>
        <s v="Great Clips"/>
        <s v="S Mart: Beer"/>
        <s v="Amazon Prime"/>
        <s v="McCallister's"/>
        <s v="Target: Clothes"/>
        <s v="Transferwise: ACH transfer"/>
        <s v="Cash Back Rewards - Aspiration"/>
        <s v="Twigby: Cell plan"/>
        <s v="Amazon: Prime"/>
        <s v="Amazon: Coolant"/>
        <s v="Check Deposit"/>
        <s v="Transfer into Aspiration"/>
        <s v="ACH Withdrawal"/>
        <s v="Pai Iso"/>
        <s v="Premium Parking"/>
        <s v="ATM fee - Aspiration"/>
        <s v="Stop Mart"/>
        <s v="Transfer to FNBO"/>
        <s v="Walgreens"/>
        <s v="USPS"/>
        <s v="Coinbase"/>
        <s v="Unknown - transfer from Aspiration to FNBO"/>
        <s v="Twigby"/>
        <s v="UPS"/>
        <s v="Starbucks"/>
        <s v="Check deposit: Fedex"/>
        <s v="Spirit Airlines: baggage"/>
        <s v="Agoda"/>
        <s v="Lyft"/>
        <s v="ATM Withdrawal: San Jose BNB"/>
        <s v="China Visa"/>
        <s v="Cashback Rewards - Aspiration"/>
        <s v="ATM Withdrawal: Calapan"/>
        <s v="Cebu Pacific Air"/>
        <m/>
        <s v="Paypal - Uber" u="1"/>
        <s v="ATM Withdrawal" u="1"/>
        <s v="Ebay: PayPal" u="1"/>
        <s v="Amazon" u="1"/>
        <s v="Service fee and security deposit" u="1"/>
        <s v="BJ's Travel Center" u="1"/>
        <s v="Shell - Gas" u="1"/>
        <s v="Groceries from Wal-Mart" u="1"/>
        <s v="707 Liquors" u="1"/>
        <s v="Beta Gamma Sigma Fee" u="1"/>
        <s v="Transfer: School refund from FNBO" u="1"/>
        <s v="Bone Center Store" u="1"/>
        <s v="Cengage: MQM 385 book" u="1"/>
        <s v="Transferwise " u="1"/>
        <s v="WSJ Prep" u="1"/>
        <s v="Car-wash" u="1"/>
        <s v="Einstein's Shop" u="1"/>
        <s v="ATM Fee Rebate" u="1"/>
        <s v="Wall Stree Journal Subscription" u="1"/>
        <s v="Ventra - CTA Train" u="1"/>
        <s v="ISU Convinience Store: Snacks and Water" u="1"/>
        <s v="Wal-Mart" u="1"/>
        <s v="U-Pull-It: Front Bumper" u="1"/>
        <s v="Hudson News" u="1"/>
        <s v="Withdrawal Japan ATM" u="1"/>
        <s v="Domino's" u="1"/>
        <s v="Bar and grill in Memphis" u="1"/>
        <s v="707 Liquor: Apple Juice" u="1"/>
        <s v="707 Liquour" u="1"/>
        <s v="707: Liquor" u="1"/>
        <s v="Circle K - Gas" u="1"/>
        <s v="Wal-Mart: Clothes" u="1"/>
        <s v="707 Liquor" u="1"/>
        <s v="Withdrawal O'hara airport ATM" u="1"/>
        <s v="707 Liquore - Beer" u="1"/>
        <s v="Phillips 66 - Gas" u="1"/>
        <s v="AT&amp;T Prepaid Funding" u="1"/>
        <s v="Jostens: Cap and Gown" u="1"/>
        <s v="Love Travel" u="1"/>
        <s v="MKT 230 Simulation Game" u="1"/>
        <s v="Airplane ticket to Manila and back" u="1"/>
        <s v="WSJ Subscription" u="1"/>
        <s v="FNBO Transfer: School Refund" u="1"/>
        <s v="707 Liquor: Beer" u="1"/>
        <s v="Wendy's" u="1"/>
        <s v="Harvard: Articles" u="1"/>
        <s v="Wal-Mart: Clothes and Groceries" u="1"/>
        <s v="Rosatti's" u="1"/>
        <s v="CVS" u="1"/>
        <s v="Ross: Clothes" u="1"/>
        <s v="Domino's Pizza" u="1"/>
        <s v="Cengage" u="1"/>
        <s v="707 Liquor - Beer" u="1"/>
        <s v="Amazon: Laptop" u="1"/>
        <s v="MKT 230 Online Access + eBook" u="1"/>
        <s v="Redbird card" u="1"/>
        <s v="Noodles and Company" u="1"/>
        <s v="BestBuy" u="1"/>
        <s v="Chegg" u="1"/>
        <s v="Toys R' US" u="1"/>
        <s v="FIL 240 Online Access + eBook" u="1"/>
        <s v="Subway" u="1"/>
        <s v="Withdrawal Philippinnes ATM" u="1"/>
        <s v="Interest Deposit" u="1"/>
        <s v="Pro-rated rent" u="1"/>
        <s v="BK Fast Food" u="1"/>
        <s v="707 Liquor and Domino's" u="1"/>
        <s v="S Mart" u="1"/>
        <s v="ACC 270 Online Access + eBook" u="1"/>
        <s v="Giordano's" u="1"/>
        <s v="Change of address fee" u="1"/>
        <s v="707 Liquour: Beer" u="1"/>
        <s v="Buffalo Wild Wings" u="1"/>
        <s v="Ebay: Paypal Payment" u="1"/>
        <s v="Ebay: Kindle Fire HD" u="1"/>
        <s v="Oanda Return" u="1"/>
        <s v="Cinema Diner" u="1"/>
        <s v="Fandango: Paypal Checking" u="1"/>
        <s v="Greatclips" u="1"/>
        <s v="Circle K - Food" u="1"/>
        <s v="Business Week Professional Dinner" u="1"/>
        <s v="Paypal - Agoda Hotel" u="1"/>
        <s v="Sonic" u="1"/>
        <s v="Added Credit to Google Voice" u="1"/>
        <s v="Withdrawal Aurora ATM" u="1"/>
        <s v="Wal-Mart: Groceries and Shopping" u="1"/>
        <s v="Chicago SA Conference Ticket" u="1"/>
        <s v="707 Liquors and Mexican Restaurant" u="1"/>
        <s v="DJ's - Gas" u="1"/>
        <s v="FNBO amount" u="1"/>
        <s v="Car Wash" u="1"/>
        <s v="Exam fee" u="1"/>
        <s v="Paypal - Cebuair" u="1"/>
        <s v="BK" u="1"/>
        <s v="Online Transfer" u="1"/>
        <s v="Wal-Mart: NES &amp; Mini-hdmi" u="1"/>
        <s v="Kohl's suit and casual wear" u="1"/>
        <s v="Vitalsource - Texbook" u="1"/>
        <s v="CVS - Bread and Beer" u="1"/>
        <s v="Paypal: MQM 385 Textbook" u="1"/>
        <s v="ISU Convinience Store" u="1"/>
        <s v="Wal-Mart: Groceries" u="1"/>
        <s v="BestBuy: Prepaid Sim" u="1"/>
        <s v="Dry Cleaner's" u="1"/>
        <s v="Coldstone" u="1"/>
        <s v="Chegg - Textbooks" u="1"/>
      </sharedItems>
    </cacheField>
    <cacheField name="Type" numFmtId="4">
      <sharedItems containsBlank="1" count="3">
        <s v="Income"/>
        <s v="Expense"/>
        <m/>
      </sharedItems>
    </cacheField>
    <cacheField name="Category" numFmtId="4">
      <sharedItems containsBlank="1" count="15">
        <s v="Checking"/>
        <s v="Home"/>
        <s v="Bills and Utilities"/>
        <s v="Other Income"/>
        <s v="Immigration"/>
        <s v="Shopping"/>
        <s v="Other"/>
        <s v="Transportation"/>
        <s v="Groceries And Dining"/>
        <s v="Paycheck"/>
        <m/>
        <s v="Travel" u="1"/>
        <s v="Education" u="1"/>
        <s v="Food And Dining" u="1"/>
        <s v="Savings" u="1"/>
      </sharedItems>
    </cacheField>
    <cacheField name="Amount" numFmtId="0">
      <sharedItems containsString="0" containsBlank="1" containsNumber="1" minValue="0.01" maxValue="2441.8300000000163"/>
    </cacheField>
    <cacheField name="Months" numFmtId="0" databaseField="0">
      <fieldGroup base="0">
        <rangePr groupBy="months" startDate="2019-01-01T00:00:00" endDate="2019-07-31T00:00:00"/>
        <groupItems count="14">
          <s v="&lt;1/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31/2019"/>
        </groupItems>
      </fieldGroup>
    </cacheField>
    <cacheField name="Field1" numFmtId="0" formula="Amount*-1" databaseField="0"/>
    <cacheField name="Grand Difference" numFmtId="0" formula="Type-Type" databaseField="0"/>
    <cacheField name="Field2" numFmtId="0" formula="Type-Type" databaseField="0"/>
    <cacheField name="Field3" numFmtId="0" formula="Date-Type" databaseField="0"/>
    <cacheField name="Field4" numFmtId="0" formula="Type-Typ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">
  <r>
    <x v="0"/>
    <s v="Account/Transfer"/>
    <x v="0"/>
    <x v="0"/>
    <x v="0"/>
    <n v="2441.8300000000163"/>
  </r>
  <r>
    <x v="0"/>
    <s v="Account/Transfer"/>
    <x v="1"/>
    <x v="1"/>
    <x v="1"/>
    <n v="385"/>
  </r>
  <r>
    <x v="1"/>
    <s v="Account/Transfer"/>
    <x v="2"/>
    <x v="1"/>
    <x v="2"/>
    <n v="4"/>
  </r>
  <r>
    <x v="2"/>
    <s v="Account/Transfer"/>
    <x v="3"/>
    <x v="0"/>
    <x v="3"/>
    <n v="100"/>
  </r>
  <r>
    <x v="3"/>
    <s v="Account/Transfer"/>
    <x v="4"/>
    <x v="1"/>
    <x v="2"/>
    <n v="28.98"/>
  </r>
  <r>
    <x v="4"/>
    <s v="Card"/>
    <x v="5"/>
    <x v="1"/>
    <x v="4"/>
    <n v="13.92"/>
  </r>
  <r>
    <x v="4"/>
    <s v="Card"/>
    <x v="6"/>
    <x v="1"/>
    <x v="5"/>
    <n v="34.119999999999997"/>
  </r>
  <r>
    <x v="4"/>
    <s v="Account/Transfer"/>
    <x v="7"/>
    <x v="0"/>
    <x v="3"/>
    <n v="0.22"/>
  </r>
  <r>
    <x v="5"/>
    <s v="Card"/>
    <x v="8"/>
    <x v="1"/>
    <x v="5"/>
    <n v="10.91"/>
  </r>
  <r>
    <x v="5"/>
    <s v="Card"/>
    <x v="9"/>
    <x v="1"/>
    <x v="6"/>
    <n v="14"/>
  </r>
  <r>
    <x v="6"/>
    <s v="Card"/>
    <x v="10"/>
    <x v="1"/>
    <x v="4"/>
    <n v="546.14"/>
  </r>
  <r>
    <x v="7"/>
    <s v="Card"/>
    <x v="11"/>
    <x v="1"/>
    <x v="5"/>
    <n v="10.18"/>
  </r>
  <r>
    <x v="8"/>
    <s v="Card"/>
    <x v="12"/>
    <x v="1"/>
    <x v="7"/>
    <n v="20"/>
  </r>
  <r>
    <x v="9"/>
    <s v="Account/Transfer"/>
    <x v="2"/>
    <x v="1"/>
    <x v="2"/>
    <n v="4"/>
  </r>
  <r>
    <x v="9"/>
    <s v="Account/Transfer"/>
    <x v="13"/>
    <x v="0"/>
    <x v="3"/>
    <n v="0.56999999999999995"/>
  </r>
  <r>
    <x v="10"/>
    <s v="Card"/>
    <x v="14"/>
    <x v="1"/>
    <x v="6"/>
    <n v="500"/>
  </r>
  <r>
    <x v="11"/>
    <s v="Card"/>
    <x v="15"/>
    <x v="1"/>
    <x v="5"/>
    <n v="63.57"/>
  </r>
  <r>
    <x v="12"/>
    <s v="Card"/>
    <x v="1"/>
    <x v="1"/>
    <x v="1"/>
    <n v="385"/>
  </r>
  <r>
    <x v="12"/>
    <s v="Card"/>
    <x v="4"/>
    <x v="1"/>
    <x v="2"/>
    <n v="28.98"/>
  </r>
  <r>
    <x v="13"/>
    <s v="Card"/>
    <x v="16"/>
    <x v="1"/>
    <x v="5"/>
    <n v="11.36"/>
  </r>
  <r>
    <x v="13"/>
    <s v="Card"/>
    <x v="13"/>
    <x v="0"/>
    <x v="3"/>
    <n v="0.14000000000000001"/>
  </r>
  <r>
    <x v="14"/>
    <s v="Card"/>
    <x v="17"/>
    <x v="1"/>
    <x v="6"/>
    <n v="8.99"/>
  </r>
  <r>
    <x v="15"/>
    <s v="Card"/>
    <x v="18"/>
    <x v="1"/>
    <x v="8"/>
    <n v="24.23"/>
  </r>
  <r>
    <x v="16"/>
    <s v="Card"/>
    <x v="19"/>
    <x v="1"/>
    <x v="2"/>
    <n v="14.22"/>
  </r>
  <r>
    <x v="17"/>
    <s v="Account/Transfer"/>
    <x v="13"/>
    <x v="0"/>
    <x v="3"/>
    <n v="0.15"/>
  </r>
  <r>
    <x v="18"/>
    <s v="Account/Transfer"/>
    <x v="7"/>
    <x v="0"/>
    <x v="3"/>
    <n v="0.06"/>
  </r>
  <r>
    <x v="19"/>
    <s v="Card"/>
    <x v="2"/>
    <x v="1"/>
    <x v="2"/>
    <n v="4"/>
  </r>
  <r>
    <x v="19"/>
    <s v="Card"/>
    <x v="20"/>
    <x v="1"/>
    <x v="8"/>
    <n v="12.71"/>
  </r>
  <r>
    <x v="20"/>
    <s v="Account/Transfer"/>
    <x v="7"/>
    <x v="0"/>
    <x v="3"/>
    <n v="0.02"/>
  </r>
  <r>
    <x v="21"/>
    <s v="Card"/>
    <x v="6"/>
    <x v="1"/>
    <x v="5"/>
    <n v="20.85"/>
  </r>
  <r>
    <x v="22"/>
    <s v="Card"/>
    <x v="9"/>
    <x v="1"/>
    <x v="6"/>
    <n v="14"/>
  </r>
  <r>
    <x v="23"/>
    <s v="Card"/>
    <x v="4"/>
    <x v="1"/>
    <x v="2"/>
    <n v="41.48"/>
  </r>
  <r>
    <x v="24"/>
    <s v="Card"/>
    <x v="21"/>
    <x v="1"/>
    <x v="5"/>
    <n v="41.47"/>
  </r>
  <r>
    <x v="25"/>
    <s v="Account/Transfer"/>
    <x v="22"/>
    <x v="0"/>
    <x v="3"/>
    <n v="0.3"/>
  </r>
  <r>
    <x v="26"/>
    <s v="Account/Transfer"/>
    <x v="13"/>
    <x v="0"/>
    <x v="3"/>
    <n v="7.0000000000000007E-2"/>
  </r>
  <r>
    <x v="27"/>
    <s v="Account/Transfer"/>
    <x v="14"/>
    <x v="1"/>
    <x v="6"/>
    <n v="60"/>
  </r>
  <r>
    <x v="28"/>
    <s v="Account/Transfer"/>
    <x v="7"/>
    <x v="0"/>
    <x v="3"/>
    <n v="0.19"/>
  </r>
  <r>
    <x v="28"/>
    <s v="Card"/>
    <x v="23"/>
    <x v="0"/>
    <x v="3"/>
    <n v="0.71"/>
  </r>
  <r>
    <x v="28"/>
    <s v="Account/Transfer"/>
    <x v="2"/>
    <x v="1"/>
    <x v="2"/>
    <n v="4"/>
  </r>
  <r>
    <x v="29"/>
    <s v="Card"/>
    <x v="24"/>
    <x v="1"/>
    <x v="2"/>
    <n v="18.71"/>
  </r>
  <r>
    <x v="30"/>
    <s v="Account/Transfer"/>
    <x v="14"/>
    <x v="1"/>
    <x v="6"/>
    <n v="100"/>
  </r>
  <r>
    <x v="31"/>
    <s v="Card"/>
    <x v="25"/>
    <x v="1"/>
    <x v="2"/>
    <n v="2.1800000000000002"/>
  </r>
  <r>
    <x v="31"/>
    <s v="Card"/>
    <x v="26"/>
    <x v="1"/>
    <x v="5"/>
    <n v="33.49"/>
  </r>
  <r>
    <x v="32"/>
    <s v="Card"/>
    <x v="12"/>
    <x v="1"/>
    <x v="7"/>
    <n v="20"/>
  </r>
  <r>
    <x v="33"/>
    <s v="Card"/>
    <x v="17"/>
    <x v="1"/>
    <x v="6"/>
    <n v="14"/>
  </r>
  <r>
    <x v="34"/>
    <s v="Account/Transfer"/>
    <x v="27"/>
    <x v="0"/>
    <x v="3"/>
    <n v="60"/>
  </r>
  <r>
    <x v="35"/>
    <s v="Card"/>
    <x v="28"/>
    <x v="0"/>
    <x v="0"/>
    <n v="47.62"/>
  </r>
  <r>
    <x v="36"/>
    <s v="Account/Transfer"/>
    <x v="29"/>
    <x v="1"/>
    <x v="6"/>
    <n v="60"/>
  </r>
  <r>
    <x v="36"/>
    <s v="Card"/>
    <x v="30"/>
    <x v="1"/>
    <x v="6"/>
    <n v="23"/>
  </r>
  <r>
    <x v="37"/>
    <s v="Card"/>
    <x v="31"/>
    <x v="1"/>
    <x v="7"/>
    <n v="12"/>
  </r>
  <r>
    <x v="37"/>
    <s v="Account/Transfer"/>
    <x v="28"/>
    <x v="0"/>
    <x v="0"/>
    <n v="1133.8800000000001"/>
  </r>
  <r>
    <x v="38"/>
    <s v="Account/Transfer"/>
    <x v="32"/>
    <x v="0"/>
    <x v="3"/>
    <n v="3"/>
  </r>
  <r>
    <x v="39"/>
    <s v="Card"/>
    <x v="29"/>
    <x v="1"/>
    <x v="6"/>
    <n v="100"/>
  </r>
  <r>
    <x v="39"/>
    <s v="Card"/>
    <x v="33"/>
    <x v="1"/>
    <x v="7"/>
    <n v="20"/>
  </r>
  <r>
    <x v="40"/>
    <s v="Account/Transfer"/>
    <x v="34"/>
    <x v="1"/>
    <x v="6"/>
    <n v="5"/>
  </r>
  <r>
    <x v="40"/>
    <s v="Card"/>
    <x v="35"/>
    <x v="1"/>
    <x v="4"/>
    <n v="49.13"/>
  </r>
  <r>
    <x v="40"/>
    <s v="Card"/>
    <x v="36"/>
    <x v="1"/>
    <x v="6"/>
    <n v="9.0399999999999991"/>
  </r>
  <r>
    <x v="41"/>
    <s v="Card"/>
    <x v="2"/>
    <x v="1"/>
    <x v="2"/>
    <n v="4"/>
  </r>
  <r>
    <x v="41"/>
    <s v="Account/Transfer"/>
    <x v="23"/>
    <x v="0"/>
    <x v="3"/>
    <n v="1.37"/>
  </r>
  <r>
    <x v="41"/>
    <s v="Account/Transfer"/>
    <x v="37"/>
    <x v="0"/>
    <x v="3"/>
    <n v="78.930000000000007"/>
  </r>
  <r>
    <x v="41"/>
    <s v="Account/Transfer"/>
    <x v="38"/>
    <x v="0"/>
    <x v="3"/>
    <n v="5"/>
  </r>
  <r>
    <x v="42"/>
    <s v="Account/Transfer"/>
    <x v="7"/>
    <x v="0"/>
    <x v="3"/>
    <n v="0.2"/>
  </r>
  <r>
    <x v="43"/>
    <s v="Card"/>
    <x v="39"/>
    <x v="1"/>
    <x v="2"/>
    <n v="8.8800000000000008"/>
  </r>
  <r>
    <x v="44"/>
    <s v="Account/Transfer"/>
    <x v="29"/>
    <x v="1"/>
    <x v="6"/>
    <n v="3"/>
  </r>
  <r>
    <x v="45"/>
    <s v="Card"/>
    <x v="6"/>
    <x v="1"/>
    <x v="5"/>
    <n v="10.82"/>
  </r>
  <r>
    <x v="45"/>
    <s v="Card"/>
    <x v="36"/>
    <x v="1"/>
    <x v="6"/>
    <n v="1.19"/>
  </r>
  <r>
    <x v="45"/>
    <s v="Card"/>
    <x v="40"/>
    <x v="1"/>
    <x v="6"/>
    <n v="10"/>
  </r>
  <r>
    <x v="46"/>
    <s v="Card"/>
    <x v="41"/>
    <x v="1"/>
    <x v="8"/>
    <n v="5.21"/>
  </r>
  <r>
    <x v="46"/>
    <s v="Account/Transfer"/>
    <x v="42"/>
    <x v="0"/>
    <x v="9"/>
    <n v="37.01"/>
  </r>
  <r>
    <x v="47"/>
    <s v="Card"/>
    <x v="6"/>
    <x v="1"/>
    <x v="5"/>
    <n v="23.72"/>
  </r>
  <r>
    <x v="48"/>
    <s v="Card"/>
    <x v="43"/>
    <x v="1"/>
    <x v="7"/>
    <n v="115"/>
  </r>
  <r>
    <x v="49"/>
    <s v="Card"/>
    <x v="44"/>
    <x v="1"/>
    <x v="6"/>
    <n v="29.19"/>
  </r>
  <r>
    <x v="49"/>
    <s v="Card"/>
    <x v="45"/>
    <x v="1"/>
    <x v="7"/>
    <n v="8.9600000000000009"/>
  </r>
  <r>
    <x v="50"/>
    <s v="Account/Transfer"/>
    <x v="29"/>
    <x v="1"/>
    <x v="6"/>
    <n v="9"/>
  </r>
  <r>
    <x v="51"/>
    <s v="Card"/>
    <x v="46"/>
    <x v="1"/>
    <x v="6"/>
    <n v="196.05"/>
  </r>
  <r>
    <x v="52"/>
    <s v="Account/Transfer"/>
    <x v="32"/>
    <x v="0"/>
    <x v="3"/>
    <n v="4"/>
  </r>
  <r>
    <x v="53"/>
    <s v="Account/Transfer"/>
    <x v="23"/>
    <x v="0"/>
    <x v="3"/>
    <n v="1.69"/>
  </r>
  <r>
    <x v="54"/>
    <s v="Account/Transfer"/>
    <x v="29"/>
    <x v="1"/>
    <x v="6"/>
    <n v="91.69"/>
  </r>
  <r>
    <x v="55"/>
    <s v="Card"/>
    <x v="39"/>
    <x v="1"/>
    <x v="2"/>
    <n v="9.08"/>
  </r>
  <r>
    <x v="56"/>
    <s v="Card"/>
    <x v="46"/>
    <x v="1"/>
    <x v="6"/>
    <n v="198.03"/>
  </r>
  <r>
    <x v="57"/>
    <s v="Card"/>
    <x v="44"/>
    <x v="1"/>
    <x v="6"/>
    <n v="36.880000000000003"/>
  </r>
  <r>
    <x v="58"/>
    <s v="Card"/>
    <x v="47"/>
    <x v="1"/>
    <x v="4"/>
    <n v="83"/>
  </r>
  <r>
    <x v="59"/>
    <s v="Card"/>
    <x v="46"/>
    <x v="1"/>
    <x v="6"/>
    <n v="199.8"/>
  </r>
  <r>
    <x v="60"/>
    <s v="Account/Transfer"/>
    <x v="32"/>
    <x v="0"/>
    <x v="3"/>
    <n v="4"/>
  </r>
  <r>
    <x v="61"/>
    <s v="Account/Transfer"/>
    <x v="13"/>
    <x v="0"/>
    <x v="3"/>
    <n v="0.01"/>
  </r>
  <r>
    <x v="62"/>
    <s v="Card"/>
    <x v="2"/>
    <x v="1"/>
    <x v="2"/>
    <n v="4"/>
  </r>
  <r>
    <x v="63"/>
    <s v="Account/Transfer"/>
    <x v="28"/>
    <x v="0"/>
    <x v="3"/>
    <n v="500"/>
  </r>
  <r>
    <x v="63"/>
    <s v="Account/Transfer"/>
    <x v="48"/>
    <x v="0"/>
    <x v="3"/>
    <n v="0.35"/>
  </r>
  <r>
    <x v="64"/>
    <s v="Card"/>
    <x v="49"/>
    <x v="1"/>
    <x v="6"/>
    <n v="102.93"/>
  </r>
  <r>
    <x v="65"/>
    <s v="Card"/>
    <x v="32"/>
    <x v="0"/>
    <x v="3"/>
    <n v="4"/>
  </r>
  <r>
    <x v="65"/>
    <s v="Card"/>
    <x v="46"/>
    <x v="1"/>
    <x v="6"/>
    <n v="102.58"/>
  </r>
  <r>
    <x v="66"/>
    <s v="Account/Transfer"/>
    <x v="32"/>
    <x v="0"/>
    <x v="3"/>
    <n v="4"/>
  </r>
  <r>
    <x v="67"/>
    <s v="Card"/>
    <x v="50"/>
    <x v="1"/>
    <x v="7"/>
    <n v="168.62"/>
  </r>
  <r>
    <x v="68"/>
    <s v="Card"/>
    <x v="2"/>
    <x v="1"/>
    <x v="2"/>
    <n v="4"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  <r>
    <x v="69"/>
    <m/>
    <x v="51"/>
    <x v="2"/>
    <x v="1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DB25C7-78D4-437A-8E5C-148721B4DC01}" name="PivotTable1" cacheId="0" applyNumberFormats="0" applyBorderFormats="0" applyFontFormats="0" applyPatternFormats="0" applyAlignmentFormats="0" applyWidthHeightFormats="1" dataCaption="Values" grandTotalCaption="Total" updatedVersion="6" minRefreshableVersion="3" useAutoFormatting="1" itemPrintTitles="1" createdVersion="6" indent="0" compact="0" compactData="0" chartFormat="3">
  <location ref="A1:K10" firstHeaderRow="1" firstDataRow="2" firstDataCol="3"/>
  <pivotFields count="12">
    <pivotField compact="0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compact="0" outline="0" showAll="0" defaultSubtotal="0"/>
    <pivotField axis="axisRow" compact="0" outline="0" showAll="0" defaultSubtotal="0">
      <items count="158">
        <item m="1" x="84"/>
        <item m="1" x="104"/>
        <item m="1" x="86"/>
        <item m="1" x="60"/>
        <item m="1" x="139"/>
        <item m="1" x="80"/>
        <item m="1" x="123"/>
        <item m="1" x="120"/>
        <item m="1" x="135"/>
        <item m="1" x="92"/>
        <item m="1" x="55"/>
        <item m="1" x="88"/>
        <item m="1" x="69"/>
        <item m="1" x="53"/>
        <item m="1" x="78"/>
        <item m="1" x="109"/>
        <item m="1" x="61"/>
        <item m="1" x="57"/>
        <item m="1" x="117"/>
        <item m="1" x="63"/>
        <item m="1" x="124"/>
        <item m="1" x="132"/>
        <item m="1" x="142"/>
        <item m="1" x="103"/>
        <item m="1" x="122"/>
        <item m="1" x="110"/>
        <item m="1" x="157"/>
        <item m="1" x="138"/>
        <item m="1" x="128"/>
        <item m="1" x="131"/>
        <item m="1" x="82"/>
        <item m="1" x="156"/>
        <item m="1" x="100"/>
        <item m="1" x="150"/>
        <item m="1" x="140"/>
        <item m="1" x="77"/>
        <item m="1" x="102"/>
        <item m="1" x="155"/>
        <item m="1" x="68"/>
        <item m="1" x="143"/>
        <item m="1" x="112"/>
        <item m="1" x="94"/>
        <item x="17"/>
        <item m="1" x="59"/>
        <item m="1" x="97"/>
        <item m="1" x="75"/>
        <item m="1" x="115"/>
        <item m="1" x="148"/>
        <item m="1" x="90"/>
        <item m="1" x="106"/>
        <item m="1" x="91"/>
        <item m="1" x="108"/>
        <item m="1" x="127"/>
        <item m="1" x="146"/>
        <item m="1" x="133"/>
        <item m="1" x="144"/>
        <item m="1" x="52"/>
        <item m="1" x="151"/>
        <item m="1" x="87"/>
        <item m="1" x="116"/>
        <item x="1"/>
        <item m="1" x="119"/>
        <item m="1" x="56"/>
        <item m="1" x="58"/>
        <item m="1" x="134"/>
        <item x="0"/>
        <item m="1" x="113"/>
        <item m="1" x="111"/>
        <item x="14"/>
        <item m="1" x="65"/>
        <item m="1" x="71"/>
        <item m="1" x="149"/>
        <item m="1" x="70"/>
        <item m="1" x="73"/>
        <item m="1" x="83"/>
        <item m="1" x="153"/>
        <item m="1" x="137"/>
        <item m="1" x="147"/>
        <item m="1" x="96"/>
        <item m="1" x="136"/>
        <item m="1" x="76"/>
        <item m="1" x="85"/>
        <item m="1" x="114"/>
        <item x="51"/>
        <item m="1" x="105"/>
        <item m="1" x="125"/>
        <item m="1" x="54"/>
        <item m="1" x="81"/>
        <item m="1" x="118"/>
        <item m="1" x="72"/>
        <item m="1" x="152"/>
        <item m="1" x="130"/>
        <item m="1" x="93"/>
        <item m="1" x="64"/>
        <item m="1" x="129"/>
        <item m="1" x="145"/>
        <item x="12"/>
        <item m="1" x="67"/>
        <item m="1" x="98"/>
        <item x="21"/>
        <item m="1" x="107"/>
        <item x="2"/>
        <item m="1" x="154"/>
        <item x="4"/>
        <item m="1" x="62"/>
        <item m="1" x="95"/>
        <item m="1" x="99"/>
        <item m="1" x="126"/>
        <item m="1" x="89"/>
        <item m="1" x="66"/>
        <item m="1" x="79"/>
        <item m="1" x="101"/>
        <item m="1" x="121"/>
        <item m="1" x="74"/>
        <item m="1" x="141"/>
        <item x="3"/>
        <item x="5"/>
        <item x="6"/>
        <item x="7"/>
        <item x="8"/>
        <item x="9"/>
        <item x="10"/>
        <item x="11"/>
        <item x="13"/>
        <item x="15"/>
        <item x="16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outline="0" showAll="0" sortType="descending" defaultSubtotal="0">
      <items count="3">
        <item h="1" x="2"/>
        <item h="1" sd="0" x="0"/>
        <item x="1"/>
      </items>
    </pivotField>
    <pivotField axis="axisRow" compact="0" outline="0" showAll="0" defaultSubtotal="0">
      <items count="15">
        <item sd="0" x="2"/>
        <item h="1" sd="0" x="0"/>
        <item sd="0" m="1" x="12"/>
        <item sd="0" m="1" x="13"/>
        <item sd="0" x="1"/>
        <item sd="0" x="6"/>
        <item h="1" sd="0" x="3"/>
        <item h="1" sd="0" m="1" x="14"/>
        <item sd="0" x="5"/>
        <item sd="0" m="1" x="11"/>
        <item h="1" x="10"/>
        <item sd="0" x="4"/>
        <item sd="0" x="7"/>
        <item sd="0" x="8"/>
        <item h="1" x="9"/>
      </items>
    </pivotField>
    <pivotField dataField="1" compact="0" outline="0" showAll="0" defaultSubtotal="0"/>
    <pivotField axis="axisCol"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</items>
    </pivotField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3">
    <field x="3"/>
    <field x="4"/>
    <field x="2"/>
  </rowFields>
  <rowItems count="8">
    <i>
      <x v="2"/>
      <x/>
    </i>
    <i r="1">
      <x v="4"/>
    </i>
    <i r="1">
      <x v="5"/>
    </i>
    <i r="1">
      <x v="8"/>
    </i>
    <i r="1">
      <x v="11"/>
    </i>
    <i r="1">
      <x v="12"/>
    </i>
    <i r="1">
      <x v="13"/>
    </i>
    <i t="grand">
      <x/>
    </i>
  </rowItems>
  <colFields count="1">
    <field x="6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Amount" fld="5" baseField="0" baseItem="0"/>
  </dataFields>
  <formats count="1">
    <format dxfId="3">
      <pivotArea grandRow="1" grandCol="1" outline="0" collapsedLevelsAreSubtotals="1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5056E6-FDA0-4F00-AA0C-796F7B9C5506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M1:U7" firstHeaderRow="1" firstDataRow="2" firstDataCol="1"/>
  <pivotFields count="12">
    <pivotField showAll="0"/>
    <pivotField showAll="0"/>
    <pivotField axis="axisRow" showAll="0">
      <items count="159">
        <item m="1" x="84"/>
        <item m="1" x="104"/>
        <item m="1" x="118"/>
        <item m="1" x="79"/>
        <item m="1" x="95"/>
        <item m="1" x="86"/>
        <item m="1" x="60"/>
        <item m="1" x="139"/>
        <item m="1" x="80"/>
        <item m="1" x="123"/>
        <item m="1" x="81"/>
        <item m="1" x="120"/>
        <item x="29"/>
        <item m="1" x="135"/>
        <item x="44"/>
        <item m="1" x="92"/>
        <item m="1" x="55"/>
        <item x="19"/>
        <item x="26"/>
        <item m="1" x="105"/>
        <item x="25"/>
        <item x="15"/>
        <item x="4"/>
        <item m="1" x="88"/>
        <item x="32"/>
        <item m="1" x="69"/>
        <item m="1" x="53"/>
        <item x="49"/>
        <item x="46"/>
        <item m="1" x="78"/>
        <item x="11"/>
        <item m="1" x="109"/>
        <item m="1" x="154"/>
        <item m="1" x="61"/>
        <item m="1" x="57"/>
        <item m="1" x="145"/>
        <item m="1" x="117"/>
        <item m="1" x="63"/>
        <item m="1" x="124"/>
        <item m="1" x="132"/>
        <item m="1" x="142"/>
        <item m="1" x="67"/>
        <item x="23"/>
        <item x="48"/>
        <item x="50"/>
        <item m="1" x="103"/>
        <item m="1" x="64"/>
        <item m="1" x="122"/>
        <item x="3"/>
        <item x="27"/>
        <item x="42"/>
        <item m="1" x="110"/>
        <item m="1" x="157"/>
        <item m="1" x="138"/>
        <item x="47"/>
        <item m="1" x="128"/>
        <item m="1" x="131"/>
        <item m="1" x="82"/>
        <item x="37"/>
        <item m="1" x="156"/>
        <item x="9"/>
        <item m="1" x="100"/>
        <item m="1" x="150"/>
        <item m="1" x="140"/>
        <item m="1" x="77"/>
        <item m="1" x="102"/>
        <item m="1" x="155"/>
        <item m="1" x="126"/>
        <item m="1" x="54"/>
        <item m="1" x="125"/>
        <item m="1" x="68"/>
        <item m="1" x="143"/>
        <item m="1" x="129"/>
        <item m="1" x="112"/>
        <item m="1" x="141"/>
        <item m="1" x="94"/>
        <item x="12"/>
        <item m="1" x="121"/>
        <item x="17"/>
        <item m="1" x="130"/>
        <item m="1" x="59"/>
        <item m="1" x="97"/>
        <item m="1" x="75"/>
        <item x="7"/>
        <item x="13"/>
        <item m="1" x="115"/>
        <item m="1" x="152"/>
        <item m="1" x="72"/>
        <item m="1" x="89"/>
        <item x="10"/>
        <item m="1" x="148"/>
        <item m="1" x="90"/>
        <item x="45"/>
        <item x="20"/>
        <item m="1" x="106"/>
        <item m="1" x="91"/>
        <item m="1" x="108"/>
        <item m="1" x="127"/>
        <item m="1" x="146"/>
        <item x="30"/>
        <item m="1" x="133"/>
        <item m="1" x="144"/>
        <item m="1" x="52"/>
        <item m="1" x="151"/>
        <item m="1" x="87"/>
        <item x="31"/>
        <item m="1" x="116"/>
        <item m="1" x="107"/>
        <item x="1"/>
        <item m="1" x="99"/>
        <item m="1" x="101"/>
        <item m="1" x="119"/>
        <item x="18"/>
        <item m="1" x="56"/>
        <item m="1" x="58"/>
        <item m="1" x="134"/>
        <item x="43"/>
        <item x="41"/>
        <item x="0"/>
        <item x="33"/>
        <item m="1" x="113"/>
        <item x="8"/>
        <item x="21"/>
        <item m="1" x="111"/>
        <item x="28"/>
        <item x="34"/>
        <item m="1" x="62"/>
        <item x="14"/>
        <item m="1" x="65"/>
        <item x="22"/>
        <item x="39"/>
        <item x="24"/>
        <item x="38"/>
        <item x="40"/>
        <item m="1" x="74"/>
        <item x="36"/>
        <item m="1" x="71"/>
        <item m="1" x="149"/>
        <item x="35"/>
        <item x="5"/>
        <item m="1" x="70"/>
        <item x="6"/>
        <item m="1" x="73"/>
        <item m="1" x="83"/>
        <item m="1" x="98"/>
        <item m="1" x="153"/>
        <item m="1" x="137"/>
        <item x="16"/>
        <item m="1" x="147"/>
        <item m="1" x="96"/>
        <item m="1" x="136"/>
        <item m="1" x="76"/>
        <item m="1" x="85"/>
        <item m="1" x="114"/>
        <item x="2"/>
        <item m="1" x="66"/>
        <item m="1" x="93"/>
        <item x="51"/>
        <item t="default"/>
      </items>
    </pivotField>
    <pivotField axis="axisRow" showAll="0">
      <items count="4">
        <item h="1" x="1"/>
        <item x="0"/>
        <item h="1" x="2"/>
        <item t="default"/>
      </items>
    </pivotField>
    <pivotField axis="axisRow" showAll="0">
      <items count="16">
        <item h="1" x="2"/>
        <item sd="0" x="0"/>
        <item h="1" m="1" x="12"/>
        <item h="1" m="1" x="13"/>
        <item h="1" x="8"/>
        <item h="1" x="1"/>
        <item h="1" x="4"/>
        <item h="1" x="6"/>
        <item sd="0" x="3"/>
        <item sd="0" x="9"/>
        <item m="1" x="14"/>
        <item h="1" x="5"/>
        <item h="1" x="7"/>
        <item h="1" m="1" x="11"/>
        <item h="1" x="10"/>
        <item t="default"/>
      </items>
    </pivotField>
    <pivotField dataField="1"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3"/>
    <field x="4"/>
    <field x="2"/>
  </rowFields>
  <rowItems count="5">
    <i>
      <x v="1"/>
    </i>
    <i r="1">
      <x v="1"/>
    </i>
    <i r="1">
      <x v="8"/>
    </i>
    <i r="1">
      <x v="9"/>
    </i>
    <i t="grand">
      <x/>
    </i>
  </rowItems>
  <colFields count="1">
    <field x="6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E82ECF-8D8E-4298-A487-1C47E1794482}" name="Table4" displayName="Table4" ref="J25:M37" totalsRowCount="1">
  <autoFilter ref="J25:M36" xr:uid="{766846FB-CAFE-46D8-A7A1-D325C1AA0C98}"/>
  <tableColumns count="4">
    <tableColumn id="1" xr3:uid="{4375DBD2-A465-4046-8928-4C6BF93700D6}" name="Category" totalsRowLabel="Total" dataDxfId="56" totalsRowDxfId="55">
      <calculatedColumnFormula>'Projected CF'!B17</calculatedColumnFormula>
    </tableColumn>
    <tableColumn id="2" xr3:uid="{682E9F9E-9EEE-4011-9FDC-270571399567}" name="Projected" totalsRowFunction="sum" dataDxfId="54">
      <calculatedColumnFormula>'Projected CF'!P17</calculatedColumnFormula>
    </tableColumn>
    <tableColumn id="3" xr3:uid="{BE017DDE-DC11-4C97-9F54-DEC8071B98D6}" name="Actual" totalsRowFunction="sum" dataDxfId="53" totalsRowCellStyle="Comma">
      <calculatedColumnFormula>SUMIF(Transactions!E:E,J26,Transactions!F:F)</calculatedColumnFormula>
    </tableColumn>
    <tableColumn id="4" xr3:uid="{64211E2A-8C09-4822-A6D4-FC899C55298D}" name="Variance" totalsRowFunction="sum" dataDxfId="52" totalsRowDxfId="51">
      <calculatedColumnFormula>K26-L26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18C45C-468D-4E08-B30C-74A70E662A0C}" name="Variation" displayName="Variation" ref="A42:N54" totalsRowCount="1" headerRowDxfId="50" dataDxfId="49" dataCellStyle="Percent">
  <autoFilter ref="A42:N53" xr:uid="{13B4F8B1-3DB3-40B6-A1D4-ADBC7A0E9760}"/>
  <tableColumns count="14">
    <tableColumn id="1" xr3:uid="{2F23A08E-3300-4842-BD94-A1FF7018C072}" name="I&amp;E Categories" totalsRowLabel="Total" dataDxfId="48">
      <calculatedColumnFormula>Lists!B2</calculatedColumnFormula>
    </tableColumn>
    <tableColumn id="2" xr3:uid="{022E69E9-FFA2-405E-9A02-7878040BEE4D}" name="January" totalsRowFunction="sum" dataDxfId="47" totalsRowDxfId="46" dataCellStyle="Percent">
      <calculatedColumnFormula>'Projected CF'!D17-SUMIFS(Transactions!$F:$F,Transactions!$A:$A,"&gt;=1Jan",Transactions!$A:$A,"&lt;=31Jan",Transactions!$E:$E,"="&amp;A43)</calculatedColumnFormula>
    </tableColumn>
    <tableColumn id="3" xr3:uid="{454B5A3F-0488-4429-8A34-94A52622616A}" name="February" totalsRowFunction="sum" dataDxfId="45" totalsRowDxfId="44" dataCellStyle="Percent">
      <calculatedColumnFormula>'Projected CF'!E17-SUMIFS(Transactions!$F:$F,Transactions!$A:$A,"&gt;=1February",Transactions!$A:$A,"&lt;=28February",Transactions!$E:$E,"="&amp;A43)</calculatedColumnFormula>
    </tableColumn>
    <tableColumn id="4" xr3:uid="{DD4EB924-A510-4BDC-B809-740F54B25022}" name="March" totalsRowFunction="sum" dataDxfId="43" totalsRowDxfId="42" dataCellStyle="Percent">
      <calculatedColumnFormula>'Projected CF'!F17-SUMIFS(Transactions!$F:$F,Transactions!$A:$A,"&gt;=1mar",Transactions!$A:$A,"&lt;=31mar",Transactions!$E:$E,"="&amp;A43)</calculatedColumnFormula>
    </tableColumn>
    <tableColumn id="5" xr3:uid="{2EA8004B-502C-489B-8680-7318DE796417}" name="April" totalsRowFunction="sum" dataDxfId="41" totalsRowDxfId="40" dataCellStyle="Percent">
      <calculatedColumnFormula>'Projected CF'!G17-SUMIFS(Transactions!$F:$F,Transactions!$A:$A,"&gt;=1Apr",Transactions!$A:$A,"&lt;=30Apr",Transactions!$E:$E,"="&amp;A43)</calculatedColumnFormula>
    </tableColumn>
    <tableColumn id="6" xr3:uid="{CD6AA239-9B8F-4490-A46F-E195B54E62CE}" name=" May  " totalsRowFunction="sum" dataDxfId="39" totalsRowDxfId="38" dataCellStyle="Percent">
      <calculatedColumnFormula>'Projected CF'!H17-SUMIFS(Transactions!$F:$F,Transactions!$A:$A,"&gt;=1may",Transactions!$A:$A,"&lt;=31may",Transactions!$E:$E,"="&amp;A43)</calculatedColumnFormula>
    </tableColumn>
    <tableColumn id="7" xr3:uid="{E78D7DBE-9540-4D26-8E65-8784FF8FB944}" name="June" totalsRowFunction="sum" dataDxfId="37" totalsRowDxfId="36" dataCellStyle="Percent">
      <calculatedColumnFormula>'Projected CF'!I17-SUMIFS(Transactions!$F:$F,Transactions!$A:$A,"&gt;=1Jun",Transactions!$A:$A,"&lt;=30Jun",Transactions!$E:$E,"="&amp;A43)</calculatedColumnFormula>
    </tableColumn>
    <tableColumn id="8" xr3:uid="{FB039FA7-32F0-4153-9C9C-4B6F7DF6DFA3}" name=" July  " totalsRowFunction="sum" dataDxfId="35" totalsRowDxfId="34" dataCellStyle="Percent">
      <calculatedColumnFormula>'Projected CF'!J17-SUMIFS(Transactions!$F:$F,Transactions!$A:$A,"&gt;=1jul",Transactions!$A:$A,"&lt;=31jul",Transactions!$E:$E,"="&amp;A43)</calculatedColumnFormula>
    </tableColumn>
    <tableColumn id="9" xr3:uid="{079F3894-6BB8-4634-B209-DE572D1A0411}" name="August" totalsRowFunction="sum" dataDxfId="33" totalsRowDxfId="32" dataCellStyle="Percent">
      <calculatedColumnFormula>'Projected CF'!K17-SUMIFS(Transactions!$F:$F,Transactions!$A:$A,"&gt;=1aug",Transactions!$A:$A,"&lt;=31aug",Transactions!$E:$E,"="&amp;A43)</calculatedColumnFormula>
    </tableColumn>
    <tableColumn id="10" xr3:uid="{AC9A7C7B-DBA6-42FE-8537-CBE1C9BE39EE}" name="September" totalsRowFunction="sum" dataDxfId="31" totalsRowDxfId="30" dataCellStyle="Percent">
      <calculatedColumnFormula>'Projected CF'!L17-SUMIFS(Transactions!$F:$F,Transactions!$A:$A,"&gt;=1Sept",Transactions!$A:$A,"&lt;=30Sept",Transactions!$E:$E,"="&amp;A43)</calculatedColumnFormula>
    </tableColumn>
    <tableColumn id="11" xr3:uid="{F0CBAF5B-686F-435D-9427-34C31C5C4BEE}" name="October" totalsRowFunction="sum" dataDxfId="29" totalsRowDxfId="28" dataCellStyle="Percent">
      <calculatedColumnFormula>'Projected CF'!M17-SUMIFS(Transactions!$F:$F,Transactions!$A:$A,"&gt;=1oct",Transactions!$A:$A,"&lt;=31oct",Transactions!$E:$E,"="&amp;A43)</calculatedColumnFormula>
    </tableColumn>
    <tableColumn id="12" xr3:uid="{1D839170-F546-466E-A9DD-EE3085BFE061}" name="November" totalsRowFunction="sum" dataDxfId="27" totalsRowDxfId="26" dataCellStyle="Percent">
      <calculatedColumnFormula>'Projected CF'!N17-SUMIFS(Transactions!$F:$F,Transactions!$A:$A,"&gt;=1nov",Transactions!$A:$A,"&lt;=30nov",Transactions!$E:$E,"="&amp;A43)</calculatedColumnFormula>
    </tableColumn>
    <tableColumn id="13" xr3:uid="{07552DC0-9890-40EE-8DE2-CFA24B194AFA}" name="December" totalsRowFunction="sum" dataDxfId="25" totalsRowDxfId="24" dataCellStyle="Percent">
      <calculatedColumnFormula>'Projected CF'!O17-SUMIFS(Transactions!$F:$F,Transactions!$A:$A,"&gt;=1dec",Transactions!$A:$A,"&lt;=31dec",Transactions!$E:$E,"="&amp;A43)</calculatedColumnFormula>
    </tableColumn>
    <tableColumn id="14" xr3:uid="{2EB6C4C5-8145-4CC3-B362-A86801FA730F}" name=" Total " totalsRowFunction="sum" dataDxfId="23" totalsRowDxfId="22" dataCellStyle="Percent">
      <calculatedColumnFormula>SUM(Variation[[#This Row],[January]:[December]])</calculatedColumnFormula>
    </tableColumn>
  </tableColumns>
  <tableStyleInfo name="TableStyleMedium5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224D2A-44E9-4524-8CC2-BBB31903B302}" name="Transactions" displayName="Transactions" ref="A1:F277" totalsRowCount="1" headerRowDxfId="18" dataDxfId="16" totalsRowDxfId="15" headerRowBorderDxfId="17">
  <autoFilter ref="A1:F276" xr:uid="{C42FEB0F-A674-4FB3-8870-B013ADE694C2}"/>
  <tableColumns count="6">
    <tableColumn id="1" xr3:uid="{38331840-C69A-4F9D-9E88-7A7F18BD3277}" name="Date" totalsRowLabel="Total" dataDxfId="14" totalsRowDxfId="13"/>
    <tableColumn id="2" xr3:uid="{92BCDCB1-C5FC-4812-9477-A1EC31C91473}" name="Payment_x000a_Type" dataDxfId="12" totalsRowDxfId="11"/>
    <tableColumn id="3" xr3:uid="{E3BA30DD-7C83-44D9-B14A-FC04A5B19DED}" name="Description" dataDxfId="10" totalsRowDxfId="9"/>
    <tableColumn id="4" xr3:uid="{CB873E72-75DA-4E1A-87AF-2D4317E02C06}" name="Type" dataDxfId="8" totalsRowDxfId="7"/>
    <tableColumn id="5" xr3:uid="{EA7E349E-3ED9-4A92-A90B-C12A1D4DA729}" name="Category" dataDxfId="6" totalsRowDxfId="5"/>
    <tableColumn id="6" xr3:uid="{9422A73B-1C45-4181-891C-0C96C935B464}" name="Amount" totalsRowFunction="sum" totalsRow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320E408-0C08-4F7D-968D-B5C9D4351E96}" name="Table6" displayName="Table6" ref="A1:O11" totalsRowShown="0" headerRowDxfId="2">
  <autoFilter ref="A1:O11" xr:uid="{85BBBD60-4BE9-497E-A106-A71FD4D595BD}"/>
  <tableColumns count="15">
    <tableColumn id="1" xr3:uid="{C613E420-A47D-426C-8934-6A4F93D39449}" name="Categories" dataDxfId="1" dataCellStyle="20% - Accent3"/>
    <tableColumn id="15" xr3:uid="{C3577605-1F8A-49E2-B2B6-121EC8D26CC3}" name="Current" dataDxfId="0" dataCellStyle="Comma"/>
    <tableColumn id="2" xr3:uid="{210909E5-8BCC-469F-B06C-3982FDBA7FDF}" name="January" dataCellStyle="Comma"/>
    <tableColumn id="3" xr3:uid="{8F4D5081-E194-4889-A662-7034087ABE5A}" name="February" dataCellStyle="Comma"/>
    <tableColumn id="4" xr3:uid="{66125BEE-77E1-437D-81A5-D5045F5F3C43}" name="March" dataCellStyle="Comma"/>
    <tableColumn id="5" xr3:uid="{B5B6F8C6-354F-49F5-91F1-D678A6C5BAD2}" name="April" dataCellStyle="Comma"/>
    <tableColumn id="6" xr3:uid="{3A2689C0-6E0B-410D-8020-28A20ECCC89A}" name=" May  " dataCellStyle="Comma"/>
    <tableColumn id="7" xr3:uid="{70F9BFE0-17DC-4044-986B-979566A6BDCE}" name="June" dataCellStyle="Comma"/>
    <tableColumn id="8" xr3:uid="{FECC50F3-E001-4A42-99EE-6D5E7B72FF86}" name=" July  " dataCellStyle="Comma"/>
    <tableColumn id="9" xr3:uid="{72E6642F-A629-44DE-813D-1CD4D395CB37}" name="August" dataCellStyle="Comma"/>
    <tableColumn id="10" xr3:uid="{71F2471E-FF45-4CA6-92E2-FC21B8453C04}" name="September" dataCellStyle="Comma"/>
    <tableColumn id="11" xr3:uid="{C5EE8255-57E3-4ED8-9B0A-478E73675F36}" name="October" dataCellStyle="Comma"/>
    <tableColumn id="12" xr3:uid="{19AF6E6A-39C6-489F-903F-6FCF8EEE1345}" name="November" dataCellStyle="Comma"/>
    <tableColumn id="13" xr3:uid="{D9502D86-FEF3-44C4-82B7-31C41A7E5CBD}" name="December" dataCellStyle="Comma"/>
    <tableColumn id="14" xr3:uid="{7E3513FD-89A4-4E09-9E5A-C71A84179E4E}" name=" Total " dataCellStyle="Comma">
      <calculatedColumnFormula>SUM(Table6[[#This Row],[January]:[December]])</calculatedColumnFormula>
    </tableColumn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75A85-498C-444E-BB64-F1F35F601C89}">
  <sheetPr codeName="Sheet5"/>
  <dimension ref="A1:N55"/>
  <sheetViews>
    <sheetView tabSelected="1" zoomScale="80" zoomScaleNormal="80" workbookViewId="0">
      <selection activeCell="C5" sqref="C5"/>
    </sheetView>
  </sheetViews>
  <sheetFormatPr defaultRowHeight="12.75"/>
  <cols>
    <col min="1" max="1" width="28.42578125" bestFit="1" customWidth="1"/>
    <col min="2" max="3" width="13.7109375" bestFit="1" customWidth="1"/>
    <col min="4" max="4" width="12.28515625" customWidth="1"/>
    <col min="5" max="5" width="10" bestFit="1" customWidth="1"/>
    <col min="6" max="7" width="11.140625" bestFit="1" customWidth="1"/>
    <col min="8" max="9" width="15" bestFit="1" customWidth="1"/>
    <col min="10" max="10" width="15.28515625" bestFit="1" customWidth="1"/>
    <col min="11" max="11" width="12" bestFit="1" customWidth="1"/>
    <col min="12" max="12" width="11.140625" bestFit="1" customWidth="1"/>
    <col min="13" max="13" width="11.42578125" bestFit="1" customWidth="1"/>
    <col min="14" max="14" width="11.140625" bestFit="1" customWidth="1"/>
    <col min="15" max="16" width="11.7109375" bestFit="1" customWidth="1"/>
  </cols>
  <sheetData>
    <row r="1" spans="1:5" ht="15.75">
      <c r="A1" s="136"/>
      <c r="B1" s="137" t="s">
        <v>62</v>
      </c>
      <c r="C1" s="138" t="s">
        <v>63</v>
      </c>
      <c r="E1" s="134"/>
    </row>
    <row r="2" spans="1:5" ht="15.75">
      <c r="A2" s="136"/>
      <c r="B2" s="139"/>
      <c r="C2" s="140"/>
      <c r="E2" s="34"/>
    </row>
    <row r="3" spans="1:5" ht="15.75">
      <c r="A3" s="136"/>
      <c r="B3" s="139"/>
      <c r="C3" s="140"/>
      <c r="E3" s="34"/>
    </row>
    <row r="4" spans="1:5" ht="15.75">
      <c r="A4" s="136"/>
      <c r="B4" s="139"/>
      <c r="C4" s="140"/>
      <c r="E4" s="34"/>
    </row>
    <row r="5" spans="1:5" ht="15.75">
      <c r="A5" s="136" t="s">
        <v>93</v>
      </c>
      <c r="B5" s="141">
        <f>'Projected CF'!O45</f>
        <v>-13432.109999999981</v>
      </c>
      <c r="C5" s="145">
        <f>SUMIF(Transactions!D1:D1092,"Income",Transactions!F1:F1092)-SUMIF(Transactions!D1:D1092,"Expense",Transactions!F1:F1092)</f>
        <v>231.03000000001703</v>
      </c>
      <c r="E5" s="135"/>
    </row>
    <row r="6" spans="1:5" ht="15.75">
      <c r="A6" s="136" t="s">
        <v>4</v>
      </c>
      <c r="B6" s="141">
        <f>'Projected CF'!O52</f>
        <v>0</v>
      </c>
      <c r="C6" s="142">
        <f>SUMIFS(Transactions!F:F,Transactions!E:E,"Savings")</f>
        <v>0</v>
      </c>
      <c r="E6" s="135"/>
    </row>
    <row r="7" spans="1:5" ht="15.75">
      <c r="A7" s="136" t="s">
        <v>100</v>
      </c>
      <c r="B7" s="141"/>
      <c r="C7" s="142">
        <f>'Debt and Investments'!N6</f>
        <v>1874.85</v>
      </c>
      <c r="E7" s="135"/>
    </row>
    <row r="8" spans="1:5" ht="15.75">
      <c r="A8" s="136" t="s">
        <v>76</v>
      </c>
      <c r="B8" s="141"/>
      <c r="C8" s="142">
        <f>'Debt and Investments'!N11</f>
        <v>53047</v>
      </c>
      <c r="E8" s="135"/>
    </row>
    <row r="9" spans="1:5" ht="15.75">
      <c r="A9" s="136" t="s">
        <v>101</v>
      </c>
      <c r="B9" s="141"/>
      <c r="C9" s="145">
        <f>C5+C6+C7-C8</f>
        <v>-50941.119999999981</v>
      </c>
      <c r="E9" s="135"/>
    </row>
    <row r="10" spans="1:5" ht="15.75">
      <c r="A10" s="136"/>
      <c r="B10" s="139"/>
      <c r="C10" s="140"/>
      <c r="E10" s="34"/>
    </row>
    <row r="11" spans="1:5" ht="15.75">
      <c r="A11" s="136" t="s">
        <v>68</v>
      </c>
      <c r="B11" s="143">
        <f>('Projected CF'!P14-'Projected CF'!P29)/'Projected CF'!P14</f>
        <v>-1.7637711111111114</v>
      </c>
      <c r="C11" s="144">
        <f>(SUMIFS(Transactions!F:F,Transactions!D:D,"Income")-SUMIFS(Transactions!F:F,Transactions!D:D,"expense"))/SUMIFS(Transactions!F:F,Transactions!D:D,"Income")</f>
        <v>5.21592479206777E-2</v>
      </c>
      <c r="E11" s="34"/>
    </row>
    <row r="12" spans="1:5" ht="15.75">
      <c r="A12" s="136" t="s">
        <v>69</v>
      </c>
      <c r="B12" s="143">
        <f>'Projected CF'!P29/'Projected CF'!P14</f>
        <v>2.7637711111111112</v>
      </c>
      <c r="C12" s="144">
        <f>SUMIFS(Transactions!F:F,Transactions!D:D,"expense")/SUMIFS(Transactions!F:F,Transactions!D:D,"Income")</f>
        <v>0.94784075207932228</v>
      </c>
      <c r="E12" s="34"/>
    </row>
    <row r="13" spans="1:5" ht="15.75">
      <c r="A13" s="136"/>
      <c r="B13" s="139"/>
      <c r="C13" s="140"/>
      <c r="E13" s="34"/>
    </row>
    <row r="14" spans="1:5" ht="15.75">
      <c r="A14" s="136"/>
      <c r="B14" s="139"/>
      <c r="C14" s="140"/>
      <c r="E14" s="34"/>
    </row>
    <row r="15" spans="1:5" ht="15.75">
      <c r="A15" s="136"/>
      <c r="B15" s="139"/>
      <c r="C15" s="140"/>
      <c r="E15" s="34"/>
    </row>
    <row r="16" spans="1:5" ht="15.75">
      <c r="A16" s="136"/>
      <c r="B16" s="139"/>
      <c r="C16" s="140"/>
      <c r="E16" s="34"/>
    </row>
    <row r="17" spans="1:13" ht="15.75">
      <c r="A17" s="136"/>
      <c r="B17" s="139"/>
      <c r="C17" s="140"/>
      <c r="E17" s="34"/>
    </row>
    <row r="24" spans="1:13">
      <c r="J24" s="158" t="s">
        <v>66</v>
      </c>
      <c r="K24" s="158"/>
      <c r="L24" s="158"/>
      <c r="M24" s="158"/>
    </row>
    <row r="25" spans="1:13">
      <c r="J25" t="s">
        <v>53</v>
      </c>
      <c r="K25" t="s">
        <v>62</v>
      </c>
      <c r="L25" t="s">
        <v>63</v>
      </c>
      <c r="M25" t="s">
        <v>64</v>
      </c>
    </row>
    <row r="26" spans="1:13">
      <c r="J26" s="5" t="str">
        <f>'Projected CF'!B17</f>
        <v>Transportation</v>
      </c>
      <c r="K26" s="90">
        <f>'Projected CF'!P17</f>
        <v>650</v>
      </c>
      <c r="L26">
        <f>SUMIF(Transactions!E:E,J26,Transactions!F:F)</f>
        <v>364.58000000000004</v>
      </c>
      <c r="M26" s="90">
        <f t="shared" ref="M26:M36" si="0">K26-L26</f>
        <v>285.41999999999996</v>
      </c>
    </row>
    <row r="27" spans="1:13">
      <c r="J27" s="5" t="str">
        <f>'Projected CF'!B18</f>
        <v>Bills And Utilities</v>
      </c>
      <c r="K27" s="90">
        <f>'Projected CF'!P18</f>
        <v>348.94</v>
      </c>
      <c r="L27">
        <f>SUMIF(Transactions!E:E,J27,Transactions!F:F)</f>
        <v>180.51000000000002</v>
      </c>
      <c r="M27" s="90">
        <f t="shared" si="0"/>
        <v>168.42999999999998</v>
      </c>
    </row>
    <row r="28" spans="1:13">
      <c r="J28" s="5" t="str">
        <f>'Projected CF'!B19</f>
        <v>Debt</v>
      </c>
      <c r="K28" s="90">
        <f>'Projected CF'!P19</f>
        <v>5000</v>
      </c>
      <c r="L28">
        <f>SUMIF(Transactions!E:E,J28,Transactions!F:F)</f>
        <v>0</v>
      </c>
      <c r="M28" s="90">
        <f t="shared" si="0"/>
        <v>5000</v>
      </c>
    </row>
    <row r="29" spans="1:13">
      <c r="J29" s="5" t="str">
        <f>'Projected CF'!B20</f>
        <v>Groceries And Dining</v>
      </c>
      <c r="K29" s="90">
        <f>'Projected CF'!P20</f>
        <v>4500</v>
      </c>
      <c r="L29">
        <f>SUMIF(Transactions!E:E,J29,Transactions!F:F)</f>
        <v>42.15</v>
      </c>
      <c r="M29" s="90">
        <f t="shared" si="0"/>
        <v>4457.8500000000004</v>
      </c>
    </row>
    <row r="30" spans="1:13">
      <c r="J30" s="5" t="str">
        <f>'Projected CF'!B21</f>
        <v>Home</v>
      </c>
      <c r="K30" s="90">
        <f>'Projected CF'!P21</f>
        <v>6125</v>
      </c>
      <c r="L30">
        <f>SUMIF(Transactions!E:E,J30,Transactions!F:F)</f>
        <v>770</v>
      </c>
      <c r="M30" s="90">
        <f t="shared" si="0"/>
        <v>5355</v>
      </c>
    </row>
    <row r="31" spans="1:13">
      <c r="J31" s="5" t="str">
        <f>'Projected CF'!B22</f>
        <v>Shopping</v>
      </c>
      <c r="K31" s="90">
        <f>'Projected CF'!P22</f>
        <v>2250</v>
      </c>
      <c r="L31">
        <f>SUMIF(Transactions!E:E,J31,Transactions!F:F)</f>
        <v>260.49</v>
      </c>
      <c r="M31" s="90">
        <f t="shared" si="0"/>
        <v>1989.51</v>
      </c>
    </row>
    <row r="32" spans="1:13">
      <c r="J32" s="5" t="str">
        <f>'Projected CF'!B23</f>
        <v>Immigration</v>
      </c>
      <c r="K32" s="90">
        <f>'Projected CF'!P23</f>
        <v>4500</v>
      </c>
      <c r="L32">
        <f>SUMIF(Transactions!E:E,J32,Transactions!F:F)</f>
        <v>692.18999999999994</v>
      </c>
      <c r="M32" s="90">
        <f t="shared" si="0"/>
        <v>3807.81</v>
      </c>
    </row>
    <row r="33" spans="1:14">
      <c r="J33" s="5" t="str">
        <f>'Projected CF'!B24</f>
        <v>Other</v>
      </c>
      <c r="K33" s="90">
        <f>'Projected CF'!P24</f>
        <v>1500</v>
      </c>
      <c r="L33">
        <f>SUMIF(Transactions!E:E,J33,Transactions!F:F)</f>
        <v>1888.3700000000001</v>
      </c>
      <c r="M33" s="90">
        <f t="shared" si="0"/>
        <v>-388.37000000000012</v>
      </c>
    </row>
    <row r="34" spans="1:14">
      <c r="J34" s="5" t="str">
        <f>'Projected CF'!B25</f>
        <v>Expense 9</v>
      </c>
      <c r="K34" s="90">
        <f>'Projected CF'!P25</f>
        <v>0</v>
      </c>
      <c r="L34">
        <f>SUMIF(Transactions!E:E,J34,Transactions!F:F)</f>
        <v>0</v>
      </c>
      <c r="M34" s="90">
        <f t="shared" si="0"/>
        <v>0</v>
      </c>
    </row>
    <row r="35" spans="1:14">
      <c r="J35" s="5" t="str">
        <f>'Projected CF'!B26</f>
        <v>Expense 10</v>
      </c>
      <c r="K35" s="90">
        <f>'Projected CF'!P26</f>
        <v>0</v>
      </c>
      <c r="L35">
        <f>SUMIF(Transactions!E:E,J35,Transactions!F:F)</f>
        <v>0</v>
      </c>
      <c r="M35" s="90">
        <f t="shared" si="0"/>
        <v>0</v>
      </c>
    </row>
    <row r="36" spans="1:14">
      <c r="J36" s="5" t="str">
        <f>'Projected CF'!B27</f>
        <v>Expense 11</v>
      </c>
      <c r="K36" s="90">
        <f>'Projected CF'!P27</f>
        <v>0</v>
      </c>
      <c r="L36">
        <f>SUMIF(Transactions!E:E,J36,Transactions!F:F)</f>
        <v>0</v>
      </c>
      <c r="M36" s="90">
        <f t="shared" si="0"/>
        <v>0</v>
      </c>
    </row>
    <row r="37" spans="1:14">
      <c r="J37" s="5" t="s">
        <v>11</v>
      </c>
      <c r="K37" s="90">
        <f>SUBTOTAL(109,Table4[Projected])</f>
        <v>24873.940000000002</v>
      </c>
      <c r="L37" s="98">
        <f>SUBTOTAL(109,Table4[Actual])</f>
        <v>4198.29</v>
      </c>
      <c r="M37" s="90">
        <f>SUBTOTAL(109,Table4[Variance])</f>
        <v>20675.650000000001</v>
      </c>
    </row>
    <row r="41" spans="1:14">
      <c r="A41" s="157" t="s">
        <v>67</v>
      </c>
      <c r="B41" s="157"/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</row>
    <row r="42" spans="1:14">
      <c r="A42" t="s">
        <v>61</v>
      </c>
      <c r="B42" s="90" t="s">
        <v>15</v>
      </c>
      <c r="C42" s="90" t="s">
        <v>16</v>
      </c>
      <c r="D42" s="90" t="s">
        <v>17</v>
      </c>
      <c r="E42" s="90" t="s">
        <v>18</v>
      </c>
      <c r="F42" s="90" t="s">
        <v>58</v>
      </c>
      <c r="G42" s="90" t="s">
        <v>20</v>
      </c>
      <c r="H42" s="90" t="s">
        <v>59</v>
      </c>
      <c r="I42" s="90" t="s">
        <v>22</v>
      </c>
      <c r="J42" s="90" t="s">
        <v>23</v>
      </c>
      <c r="K42" s="90" t="s">
        <v>24</v>
      </c>
      <c r="L42" s="90" t="s">
        <v>25</v>
      </c>
      <c r="M42" s="90" t="s">
        <v>26</v>
      </c>
      <c r="N42" s="90" t="s">
        <v>60</v>
      </c>
    </row>
    <row r="43" spans="1:14">
      <c r="A43" t="str">
        <f>Lists!B2</f>
        <v>Transportation</v>
      </c>
      <c r="B43" s="94">
        <f>'Projected CF'!D17-SUMIFS(Transactions!$F:$F,Transactions!$A:$A,"&gt;=1Jan",Transactions!$A:$A,"&lt;=31Jan",Transactions!$E:$E,"="&amp;A43)</f>
        <v>80</v>
      </c>
      <c r="C43" s="94">
        <f>'Projected CF'!E17-SUMIFS(Transactions!$F:$F,Transactions!$A:$A,"&gt;=1February",Transactions!$A:$A,"&lt;=28February",Transactions!$E:$E,"="&amp;A43)</f>
        <v>50</v>
      </c>
      <c r="D43" s="94">
        <f>'Projected CF'!F17-SUMIFS(Transactions!$F:$F,Transactions!$A:$A,"&gt;=1mar",Transactions!$A:$A,"&lt;=31mar",Transactions!$E:$E,"="&amp;A43)</f>
        <v>50</v>
      </c>
      <c r="E43" s="94">
        <f>'Projected CF'!G17-SUMIFS(Transactions!$F:$F,Transactions!$A:$A,"&gt;=1Apr",Transactions!$A:$A,"&lt;=30Apr",Transactions!$E:$E,"="&amp;A43)</f>
        <v>-2</v>
      </c>
      <c r="F43" s="94">
        <f>'Projected CF'!H17-SUMIFS(Transactions!$F:$F,Transactions!$A:$A,"&gt;=1may",Transactions!$A:$A,"&lt;=31may",Transactions!$E:$E,"="&amp;A43)</f>
        <v>-73.960000000000008</v>
      </c>
      <c r="G43" s="94">
        <f>'Projected CF'!I17-SUMIFS(Transactions!$F:$F,Transactions!$A:$A,"&gt;=1Jun",Transactions!$A:$A,"&lt;=30Jun",Transactions!$E:$E,"="&amp;A43)</f>
        <v>50</v>
      </c>
      <c r="H43" s="94">
        <f>'Projected CF'!J17-SUMIFS(Transactions!$F:$F,Transactions!$A:$A,"&gt;=1jul",Transactions!$A:$A,"&lt;=31jul",Transactions!$E:$E,"="&amp;A43)</f>
        <v>-118.62</v>
      </c>
      <c r="I43" s="94">
        <f>'Projected CF'!K17-SUMIFS(Transactions!$F:$F,Transactions!$A:$A,"&gt;=1aug",Transactions!$A:$A,"&lt;=31aug",Transactions!$E:$E,"="&amp;A43)</f>
        <v>50</v>
      </c>
      <c r="J43" s="94">
        <f>'Projected CF'!L17-SUMIFS(Transactions!$F:$F,Transactions!$A:$A,"&gt;=1Sept",Transactions!$A:$A,"&lt;=30Sept",Transactions!$E:$E,"="&amp;A43)</f>
        <v>50</v>
      </c>
      <c r="K43" s="94">
        <f>'Projected CF'!M17-SUMIFS(Transactions!$F:$F,Transactions!$A:$A,"&gt;=1oct",Transactions!$A:$A,"&lt;=31oct",Transactions!$E:$E,"="&amp;A43)</f>
        <v>50</v>
      </c>
      <c r="L43" s="94">
        <f>'Projected CF'!N17-SUMIFS(Transactions!$F:$F,Transactions!$A:$A,"&gt;=1nov",Transactions!$A:$A,"&lt;=30nov",Transactions!$E:$E,"="&amp;A43)</f>
        <v>50</v>
      </c>
      <c r="M43" s="94">
        <f>'Projected CF'!O17-SUMIFS(Transactions!$F:$F,Transactions!$A:$A,"&gt;=1dec",Transactions!$A:$A,"&lt;=31dec",Transactions!$E:$E,"="&amp;A43)</f>
        <v>50</v>
      </c>
      <c r="N43" s="94">
        <f>SUM(Variation[[#This Row],[January]:[December]])</f>
        <v>285.41999999999996</v>
      </c>
    </row>
    <row r="44" spans="1:14">
      <c r="A44" t="str">
        <f>Lists!B3</f>
        <v>Bills And Utilities</v>
      </c>
      <c r="B44" s="94">
        <f>'Projected CF'!D18-SUMIFS(Transactions!$F:$F,Transactions!$A:$A,"&gt;=1Jan",Transactions!$A:$A,"&lt;=31Jan",Transactions!$E:$E,"="&amp;A44)</f>
        <v>-4</v>
      </c>
      <c r="C44" s="94">
        <f>'Projected CF'!E18-SUMIFS(Transactions!$F:$F,Transactions!$A:$A,"&gt;=1February",Transactions!$A:$A,"&lt;=28February",Transactions!$E:$E,"="&amp;A44)</f>
        <v>-10.219999999999999</v>
      </c>
      <c r="D44" s="94">
        <f>'Projected CF'!F18-SUMIFS(Transactions!$F:$F,Transactions!$A:$A,"&gt;=1mar",Transactions!$A:$A,"&lt;=31mar",Transactions!$E:$E,"="&amp;A44)</f>
        <v>-12.499999999999993</v>
      </c>
      <c r="E44" s="94">
        <f>'Projected CF'!G18-SUMIFS(Transactions!$F:$F,Transactions!$A:$A,"&gt;=1Apr",Transactions!$A:$A,"&lt;=30Apr",Transactions!$E:$E,"="&amp;A44)</f>
        <v>-4.8900000000000006</v>
      </c>
      <c r="F44" s="94">
        <f>'Projected CF'!H18-SUMIFS(Transactions!$F:$F,Transactions!$A:$A,"&gt;=1may",Transactions!$A:$A,"&lt;=31may",Transactions!$E:$E,"="&amp;A44)</f>
        <v>7.1199999999999992</v>
      </c>
      <c r="G44" s="94">
        <f>'Projected CF'!I18-SUMIFS(Transactions!$F:$F,Transactions!$A:$A,"&gt;=1Jun",Transactions!$A:$A,"&lt;=30Jun",Transactions!$E:$E,"="&amp;A44)</f>
        <v>16.920000000000002</v>
      </c>
      <c r="H44" s="94">
        <f>'Projected CF'!J18-SUMIFS(Transactions!$F:$F,Transactions!$A:$A,"&gt;=1jul",Transactions!$A:$A,"&lt;=31jul",Transactions!$E:$E,"="&amp;A44)</f>
        <v>26</v>
      </c>
      <c r="I44" s="94">
        <f>'Projected CF'!K18-SUMIFS(Transactions!$F:$F,Transactions!$A:$A,"&gt;=1aug",Transactions!$A:$A,"&lt;=31aug",Transactions!$E:$E,"="&amp;A44)</f>
        <v>30</v>
      </c>
      <c r="J44" s="94">
        <f>'Projected CF'!L18-SUMIFS(Transactions!$F:$F,Transactions!$A:$A,"&gt;=1Sept",Transactions!$A:$A,"&lt;=30Sept",Transactions!$E:$E,"="&amp;A44)</f>
        <v>30</v>
      </c>
      <c r="K44" s="94">
        <f>'Projected CF'!M18-SUMIFS(Transactions!$F:$F,Transactions!$A:$A,"&gt;=1oct",Transactions!$A:$A,"&lt;=31oct",Transactions!$E:$E,"="&amp;A44)</f>
        <v>30</v>
      </c>
      <c r="L44" s="94">
        <f>'Projected CF'!N18-SUMIFS(Transactions!$F:$F,Transactions!$A:$A,"&gt;=1nov",Transactions!$A:$A,"&lt;=30nov",Transactions!$E:$E,"="&amp;A44)</f>
        <v>30</v>
      </c>
      <c r="M44" s="94">
        <f>'Projected CF'!O18-SUMIFS(Transactions!$F:$F,Transactions!$A:$A,"&gt;=1dec",Transactions!$A:$A,"&lt;=31dec",Transactions!$E:$E,"="&amp;A44)</f>
        <v>30</v>
      </c>
      <c r="N44" s="94">
        <f>SUM(Variation[[#This Row],[January]:[December]])</f>
        <v>168.43</v>
      </c>
    </row>
    <row r="45" spans="1:14">
      <c r="A45" t="str">
        <f>Lists!B4</f>
        <v>Debt</v>
      </c>
      <c r="B45" s="94">
        <f>'Projected CF'!D19-SUMIFS(Transactions!$F:$F,Transactions!$A:$A,"&gt;=1Jan",Transactions!$A:$A,"&lt;=31Jan",Transactions!$E:$E,"="&amp;A45)</f>
        <v>416.66666666666669</v>
      </c>
      <c r="C45" s="94">
        <f>'Projected CF'!E19-SUMIFS(Transactions!$F:$F,Transactions!$A:$A,"&gt;=1February",Transactions!$A:$A,"&lt;=28February",Transactions!$E:$E,"="&amp;A45)</f>
        <v>416.66666666666669</v>
      </c>
      <c r="D45" s="94">
        <f>'Projected CF'!F19-SUMIFS(Transactions!$F:$F,Transactions!$A:$A,"&gt;=1mar",Transactions!$A:$A,"&lt;=31mar",Transactions!$E:$E,"="&amp;A45)</f>
        <v>416.66666666666669</v>
      </c>
      <c r="E45" s="94">
        <f>'Projected CF'!G19-SUMIFS(Transactions!$F:$F,Transactions!$A:$A,"&gt;=1Apr",Transactions!$A:$A,"&lt;=30Apr",Transactions!$E:$E,"="&amp;A45)</f>
        <v>416.66666666666669</v>
      </c>
      <c r="F45" s="94">
        <f>'Projected CF'!H19-SUMIFS(Transactions!$F:$F,Transactions!$A:$A,"&gt;=1may",Transactions!$A:$A,"&lt;=31may",Transactions!$E:$E,"="&amp;A45)</f>
        <v>416.66666666666669</v>
      </c>
      <c r="G45" s="94">
        <f>'Projected CF'!I19-SUMIFS(Transactions!$F:$F,Transactions!$A:$A,"&gt;=1Jun",Transactions!$A:$A,"&lt;=30Jun",Transactions!$E:$E,"="&amp;A45)</f>
        <v>416.66666666666669</v>
      </c>
      <c r="H45" s="94">
        <f>'Projected CF'!J19-SUMIFS(Transactions!$F:$F,Transactions!$A:$A,"&gt;=1jul",Transactions!$A:$A,"&lt;=31jul",Transactions!$E:$E,"="&amp;A45)</f>
        <v>416.66666666666669</v>
      </c>
      <c r="I45" s="94">
        <f>'Projected CF'!K19-SUMIFS(Transactions!$F:$F,Transactions!$A:$A,"&gt;=1aug",Transactions!$A:$A,"&lt;=31aug",Transactions!$E:$E,"="&amp;A45)</f>
        <v>416.66666666666669</v>
      </c>
      <c r="J45" s="94">
        <f>'Projected CF'!L19-SUMIFS(Transactions!$F:$F,Transactions!$A:$A,"&gt;=1Sept",Transactions!$A:$A,"&lt;=30Sept",Transactions!$E:$E,"="&amp;A45)</f>
        <v>416.66666666666669</v>
      </c>
      <c r="K45" s="94">
        <f>'Projected CF'!M19-SUMIFS(Transactions!$F:$F,Transactions!$A:$A,"&gt;=1oct",Transactions!$A:$A,"&lt;=31oct",Transactions!$E:$E,"="&amp;A45)</f>
        <v>416.66666666666669</v>
      </c>
      <c r="L45" s="94">
        <f>'Projected CF'!N19-SUMIFS(Transactions!$F:$F,Transactions!$A:$A,"&gt;=1nov",Transactions!$A:$A,"&lt;=30nov",Transactions!$E:$E,"="&amp;A45)</f>
        <v>416.66666666666669</v>
      </c>
      <c r="M45" s="94">
        <f>'Projected CF'!O19-SUMIFS(Transactions!$F:$F,Transactions!$A:$A,"&gt;=1dec",Transactions!$A:$A,"&lt;=31dec",Transactions!$E:$E,"="&amp;A45)</f>
        <v>416.66666666666669</v>
      </c>
      <c r="N45" s="94">
        <f>SUM(Variation[[#This Row],[January]:[December]])</f>
        <v>5000</v>
      </c>
    </row>
    <row r="46" spans="1:14">
      <c r="A46" t="str">
        <f>Lists!B5</f>
        <v>Groceries And Dining</v>
      </c>
      <c r="B46" s="94">
        <f>'Projected CF'!D20-SUMIFS(Transactions!$F:$F,Transactions!$A:$A,"&gt;=1Jan",Transactions!$A:$A,"&lt;=31Jan",Transactions!$E:$E,"="&amp;A46)</f>
        <v>200</v>
      </c>
      <c r="C46" s="94">
        <f>'Projected CF'!E20-SUMIFS(Transactions!$F:$F,Transactions!$A:$A,"&gt;=1February",Transactions!$A:$A,"&lt;=28February",Transactions!$E:$E,"="&amp;A46)</f>
        <v>175.77</v>
      </c>
      <c r="D46" s="94">
        <f>'Projected CF'!F20-SUMIFS(Transactions!$F:$F,Transactions!$A:$A,"&gt;=1mar",Transactions!$A:$A,"&lt;=31mar",Transactions!$E:$E,"="&amp;A46)</f>
        <v>187.29</v>
      </c>
      <c r="E46" s="94">
        <f>'Projected CF'!G20-SUMIFS(Transactions!$F:$F,Transactions!$A:$A,"&gt;=1Apr",Transactions!$A:$A,"&lt;=30Apr",Transactions!$E:$E,"="&amp;A46)</f>
        <v>200</v>
      </c>
      <c r="F46" s="94">
        <f>'Projected CF'!H20-SUMIFS(Transactions!$F:$F,Transactions!$A:$A,"&gt;=1may",Transactions!$A:$A,"&lt;=31may",Transactions!$E:$E,"="&amp;A46)</f>
        <v>194.79</v>
      </c>
      <c r="G46" s="94">
        <f>'Projected CF'!I20-SUMIFS(Transactions!$F:$F,Transactions!$A:$A,"&gt;=1Jun",Transactions!$A:$A,"&lt;=30Jun",Transactions!$E:$E,"="&amp;A46)</f>
        <v>500</v>
      </c>
      <c r="H46" s="94">
        <f>'Projected CF'!J20-SUMIFS(Transactions!$F:$F,Transactions!$A:$A,"&gt;=1jul",Transactions!$A:$A,"&lt;=31jul",Transactions!$E:$E,"="&amp;A46)</f>
        <v>500</v>
      </c>
      <c r="I46" s="94">
        <f>'Projected CF'!K20-SUMIFS(Transactions!$F:$F,Transactions!$A:$A,"&gt;=1aug",Transactions!$A:$A,"&lt;=31aug",Transactions!$E:$E,"="&amp;A46)</f>
        <v>500</v>
      </c>
      <c r="J46" s="94">
        <f>'Projected CF'!L20-SUMIFS(Transactions!$F:$F,Transactions!$A:$A,"&gt;=1Sept",Transactions!$A:$A,"&lt;=30Sept",Transactions!$E:$E,"="&amp;A46)</f>
        <v>500</v>
      </c>
      <c r="K46" s="94">
        <f>'Projected CF'!M20-SUMIFS(Transactions!$F:$F,Transactions!$A:$A,"&gt;=1oct",Transactions!$A:$A,"&lt;=31oct",Transactions!$E:$E,"="&amp;A46)</f>
        <v>500</v>
      </c>
      <c r="L46" s="94">
        <f>'Projected CF'!N20-SUMIFS(Transactions!$F:$F,Transactions!$A:$A,"&gt;=1nov",Transactions!$A:$A,"&lt;=30nov",Transactions!$E:$E,"="&amp;A46)</f>
        <v>500</v>
      </c>
      <c r="M46" s="94">
        <f>'Projected CF'!O20-SUMIFS(Transactions!$F:$F,Transactions!$A:$A,"&gt;=1dec",Transactions!$A:$A,"&lt;=31dec",Transactions!$E:$E,"="&amp;A46)</f>
        <v>500</v>
      </c>
      <c r="N46" s="94">
        <f>SUM(Variation[[#This Row],[January]:[December]])</f>
        <v>4457.8500000000004</v>
      </c>
    </row>
    <row r="47" spans="1:14">
      <c r="A47" s="97" t="str">
        <f>Lists!B6</f>
        <v>Home</v>
      </c>
      <c r="B47" s="94">
        <f>'Projected CF'!D21-SUMIFS(Transactions!$F:$F,Transactions!$A:$A,"&gt;=1Jan",Transactions!$A:$A,"&lt;=31Jan",Transactions!$E:$E,"="&amp;A47)</f>
        <v>0</v>
      </c>
      <c r="C47" s="94">
        <f>'Projected CF'!E21-SUMIFS(Transactions!$F:$F,Transactions!$A:$A,"&gt;=1February",Transactions!$A:$A,"&lt;=28February",Transactions!$E:$E,"="&amp;A47)</f>
        <v>0</v>
      </c>
      <c r="D47" s="94">
        <f>'Projected CF'!F21-SUMIFS(Transactions!$F:$F,Transactions!$A:$A,"&gt;=1mar",Transactions!$A:$A,"&lt;=31mar",Transactions!$E:$E,"="&amp;A47)</f>
        <v>385</v>
      </c>
      <c r="E47" s="94">
        <f>'Projected CF'!G21-SUMIFS(Transactions!$F:$F,Transactions!$A:$A,"&gt;=1Apr",Transactions!$A:$A,"&lt;=30Apr",Transactions!$E:$E,"="&amp;A47)</f>
        <v>385</v>
      </c>
      <c r="F47" s="94">
        <f>'Projected CF'!H21-SUMIFS(Transactions!$F:$F,Transactions!$A:$A,"&gt;=1may",Transactions!$A:$A,"&lt;=31may",Transactions!$E:$E,"="&amp;A47)</f>
        <v>385</v>
      </c>
      <c r="G47" s="94">
        <f>'Projected CF'!I21-SUMIFS(Transactions!$F:$F,Transactions!$A:$A,"&gt;=1Jun",Transactions!$A:$A,"&lt;=30Jun",Transactions!$E:$E,"="&amp;A47)</f>
        <v>600</v>
      </c>
      <c r="H47" s="94">
        <f>'Projected CF'!J21-SUMIFS(Transactions!$F:$F,Transactions!$A:$A,"&gt;=1jul",Transactions!$A:$A,"&lt;=31jul",Transactions!$E:$E,"="&amp;A47)</f>
        <v>600</v>
      </c>
      <c r="I47" s="94">
        <f>'Projected CF'!K21-SUMIFS(Transactions!$F:$F,Transactions!$A:$A,"&gt;=1aug",Transactions!$A:$A,"&lt;=31aug",Transactions!$E:$E,"="&amp;A47)</f>
        <v>600</v>
      </c>
      <c r="J47" s="94">
        <f>'Projected CF'!L21-SUMIFS(Transactions!$F:$F,Transactions!$A:$A,"&gt;=1Sept",Transactions!$A:$A,"&lt;=30Sept",Transactions!$E:$E,"="&amp;A47)</f>
        <v>600</v>
      </c>
      <c r="K47" s="94">
        <f>'Projected CF'!M21-SUMIFS(Transactions!$F:$F,Transactions!$A:$A,"&gt;=1oct",Transactions!$A:$A,"&lt;=31oct",Transactions!$E:$E,"="&amp;A47)</f>
        <v>600</v>
      </c>
      <c r="L47" s="94">
        <f>'Projected CF'!N21-SUMIFS(Transactions!$F:$F,Transactions!$A:$A,"&gt;=1nov",Transactions!$A:$A,"&lt;=30nov",Transactions!$E:$E,"="&amp;A47)</f>
        <v>600</v>
      </c>
      <c r="M47" s="94">
        <f>'Projected CF'!O21-SUMIFS(Transactions!$F:$F,Transactions!$A:$A,"&gt;=1dec",Transactions!$A:$A,"&lt;=31dec",Transactions!$E:$E,"="&amp;A47)</f>
        <v>600</v>
      </c>
      <c r="N47" s="94">
        <f>SUM(Variation[[#This Row],[January]:[December]])</f>
        <v>5355</v>
      </c>
    </row>
    <row r="48" spans="1:14">
      <c r="A48" t="str">
        <f>Lists!B7</f>
        <v>Shopping</v>
      </c>
      <c r="B48" s="94">
        <f>'Projected CF'!D22-SUMIFS(Transactions!$F:$F,Transactions!$A:$A,"&gt;=1Jan",Transactions!$A:$A,"&lt;=31Jan",Transactions!$E:$E,"="&amp;A48)</f>
        <v>44.79</v>
      </c>
      <c r="C48" s="94">
        <f>'Projected CF'!E22-SUMIFS(Transactions!$F:$F,Transactions!$A:$A,"&gt;=1February",Transactions!$A:$A,"&lt;=28February",Transactions!$E:$E,"="&amp;A48)</f>
        <v>25.069999999999993</v>
      </c>
      <c r="D48" s="94">
        <f>'Projected CF'!F22-SUMIFS(Transactions!$F:$F,Transactions!$A:$A,"&gt;=1mar",Transactions!$A:$A,"&lt;=31mar",Transactions!$E:$E,"="&amp;A48)</f>
        <v>37.68</v>
      </c>
      <c r="E48" s="94">
        <f>'Projected CF'!G22-SUMIFS(Transactions!$F:$F,Transactions!$A:$A,"&gt;=1Apr",Transactions!$A:$A,"&lt;=30Apr",Transactions!$E:$E,"="&amp;A48)</f>
        <v>66.509999999999991</v>
      </c>
      <c r="F48" s="94">
        <f>'Projected CF'!H22-SUMIFS(Transactions!$F:$F,Transactions!$A:$A,"&gt;=1may",Transactions!$A:$A,"&lt;=31may",Transactions!$E:$E,"="&amp;A48)</f>
        <v>65.460000000000008</v>
      </c>
      <c r="G48" s="94">
        <f>'Projected CF'!I22-SUMIFS(Transactions!$F:$F,Transactions!$A:$A,"&gt;=1Jun",Transactions!$A:$A,"&lt;=30Jun",Transactions!$E:$E,"="&amp;A48)</f>
        <v>250</v>
      </c>
      <c r="H48" s="94">
        <f>'Projected CF'!J22-SUMIFS(Transactions!$F:$F,Transactions!$A:$A,"&gt;=1jul",Transactions!$A:$A,"&lt;=31jul",Transactions!$E:$E,"="&amp;A48)</f>
        <v>250</v>
      </c>
      <c r="I48" s="94">
        <f>'Projected CF'!K22-SUMIFS(Transactions!$F:$F,Transactions!$A:$A,"&gt;=1aug",Transactions!$A:$A,"&lt;=31aug",Transactions!$E:$E,"="&amp;A48)</f>
        <v>250</v>
      </c>
      <c r="J48" s="94">
        <f>'Projected CF'!L22-SUMIFS(Transactions!$F:$F,Transactions!$A:$A,"&gt;=1Sept",Transactions!$A:$A,"&lt;=30Sept",Transactions!$E:$E,"="&amp;A48)</f>
        <v>250</v>
      </c>
      <c r="K48" s="94">
        <f>'Projected CF'!M22-SUMIFS(Transactions!$F:$F,Transactions!$A:$A,"&gt;=1oct",Transactions!$A:$A,"&lt;=31oct",Transactions!$E:$E,"="&amp;A48)</f>
        <v>250</v>
      </c>
      <c r="L48" s="94">
        <f>'Projected CF'!N22-SUMIFS(Transactions!$F:$F,Transactions!$A:$A,"&gt;=1nov",Transactions!$A:$A,"&lt;=30nov",Transactions!$E:$E,"="&amp;A48)</f>
        <v>250</v>
      </c>
      <c r="M48" s="94">
        <f>'Projected CF'!O22-SUMIFS(Transactions!$F:$F,Transactions!$A:$A,"&gt;=1dec",Transactions!$A:$A,"&lt;=31dec",Transactions!$E:$E,"="&amp;A48)</f>
        <v>250</v>
      </c>
      <c r="N48" s="94">
        <f>SUM(Variation[[#This Row],[January]:[December]])</f>
        <v>1989.51</v>
      </c>
    </row>
    <row r="49" spans="1:14">
      <c r="A49" t="str">
        <f>Lists!B8</f>
        <v>Immigration</v>
      </c>
      <c r="B49" s="94">
        <f>'Projected CF'!D23-SUMIFS(Transactions!$F:$F,Transactions!$A:$A,"&gt;=1Jan",Transactions!$A:$A,"&lt;=31Jan",Transactions!$E:$E,"="&amp;A49)</f>
        <v>439.94000000000005</v>
      </c>
      <c r="C49" s="94">
        <f>'Projected CF'!E23-SUMIFS(Transactions!$F:$F,Transactions!$A:$A,"&gt;=1February",Transactions!$A:$A,"&lt;=28February",Transactions!$E:$E,"="&amp;A49)</f>
        <v>1000</v>
      </c>
      <c r="D49" s="94">
        <f>'Projected CF'!F23-SUMIFS(Transactions!$F:$F,Transactions!$A:$A,"&gt;=1mar",Transactions!$A:$A,"&lt;=31mar",Transactions!$E:$E,"="&amp;A49)</f>
        <v>1000</v>
      </c>
      <c r="E49" s="94">
        <f>'Projected CF'!G23-SUMIFS(Transactions!$F:$F,Transactions!$A:$A,"&gt;=1Apr",Transactions!$A:$A,"&lt;=30Apr",Transactions!$E:$E,"="&amp;A49)</f>
        <v>1450.87</v>
      </c>
      <c r="F49" s="94">
        <f>'Projected CF'!H23-SUMIFS(Transactions!$F:$F,Transactions!$A:$A,"&gt;=1may",Transactions!$A:$A,"&lt;=31may",Transactions!$E:$E,"="&amp;A49)</f>
        <v>0</v>
      </c>
      <c r="G49" s="94">
        <f>'Projected CF'!I23-SUMIFS(Transactions!$F:$F,Transactions!$A:$A,"&gt;=1Jun",Transactions!$A:$A,"&lt;=30Jun",Transactions!$E:$E,"="&amp;A49)</f>
        <v>-83</v>
      </c>
      <c r="H49" s="94">
        <f>'Projected CF'!J23-SUMIFS(Transactions!$F:$F,Transactions!$A:$A,"&gt;=1jul",Transactions!$A:$A,"&lt;=31jul",Transactions!$E:$E,"="&amp;A49)</f>
        <v>0</v>
      </c>
      <c r="I49" s="94">
        <f>'Projected CF'!K23-SUMIFS(Transactions!$F:$F,Transactions!$A:$A,"&gt;=1aug",Transactions!$A:$A,"&lt;=31aug",Transactions!$E:$E,"="&amp;A49)</f>
        <v>0</v>
      </c>
      <c r="J49" s="94">
        <f>'Projected CF'!L23-SUMIFS(Transactions!$F:$F,Transactions!$A:$A,"&gt;=1Sept",Transactions!$A:$A,"&lt;=30Sept",Transactions!$E:$E,"="&amp;A49)</f>
        <v>0</v>
      </c>
      <c r="K49" s="94">
        <f>'Projected CF'!M23-SUMIFS(Transactions!$F:$F,Transactions!$A:$A,"&gt;=1oct",Transactions!$A:$A,"&lt;=31oct",Transactions!$E:$E,"="&amp;A49)</f>
        <v>0</v>
      </c>
      <c r="L49" s="94">
        <f>'Projected CF'!N23-SUMIFS(Transactions!$F:$F,Transactions!$A:$A,"&gt;=1nov",Transactions!$A:$A,"&lt;=30nov",Transactions!$E:$E,"="&amp;A49)</f>
        <v>0</v>
      </c>
      <c r="M49" s="94">
        <f>'Projected CF'!O23-SUMIFS(Transactions!$F:$F,Transactions!$A:$A,"&gt;=1dec",Transactions!$A:$A,"&lt;=31dec",Transactions!$E:$E,"="&amp;A49)</f>
        <v>0</v>
      </c>
      <c r="N49" s="94">
        <f>SUM(Variation[[#This Row],[January]:[December]])</f>
        <v>3807.81</v>
      </c>
    </row>
    <row r="50" spans="1:14">
      <c r="A50" t="str">
        <f>Lists!B9</f>
        <v>Other</v>
      </c>
      <c r="B50" s="94">
        <f>'Projected CF'!D24-SUMIFS(Transactions!$F:$F,Transactions!$A:$A,"&gt;=1Jan",Transactions!$A:$A,"&lt;=31Jan",Transactions!$E:$E,"="&amp;A50)</f>
        <v>-14</v>
      </c>
      <c r="C50" s="94">
        <f>'Projected CF'!E24-SUMIFS(Transactions!$F:$F,Transactions!$A:$A,"&gt;=1February",Transactions!$A:$A,"&lt;=28February",Transactions!$E:$E,"="&amp;A50)</f>
        <v>-8.9900000000000091</v>
      </c>
      <c r="D50" s="94">
        <f>'Projected CF'!F24-SUMIFS(Transactions!$F:$F,Transactions!$A:$A,"&gt;=1mar",Transactions!$A:$A,"&lt;=31mar",Transactions!$E:$E,"="&amp;A50)</f>
        <v>-74</v>
      </c>
      <c r="E50" s="94">
        <f>'Projected CF'!G24-SUMIFS(Transactions!$F:$F,Transactions!$A:$A,"&gt;=1Apr",Transactions!$A:$A,"&lt;=30Apr",Transactions!$E:$E,"="&amp;A50)</f>
        <v>188.95999999999998</v>
      </c>
      <c r="F50" s="94">
        <f>'Projected CF'!H24-SUMIFS(Transactions!$F:$F,Transactions!$A:$A,"&gt;=1may",Transactions!$A:$A,"&lt;=31may",Transactions!$E:$E,"="&amp;A50)</f>
        <v>-248.43</v>
      </c>
      <c r="G50" s="94">
        <f>'Projected CF'!I24-SUMIFS(Transactions!$F:$F,Transactions!$A:$A,"&gt;=1Jun",Transactions!$A:$A,"&lt;=30Jun",Transactions!$E:$E,"="&amp;A50)</f>
        <v>-26.400000000000091</v>
      </c>
      <c r="H50" s="94">
        <f>'Projected CF'!J24-SUMIFS(Transactions!$F:$F,Transactions!$A:$A,"&gt;=1jul",Transactions!$A:$A,"&lt;=31jul",Transactions!$E:$E,"="&amp;A50)</f>
        <v>-205.51</v>
      </c>
      <c r="I50" s="94">
        <f>'Projected CF'!K24-SUMIFS(Transactions!$F:$F,Transactions!$A:$A,"&gt;=1aug",Transactions!$A:$A,"&lt;=31aug",Transactions!$E:$E,"="&amp;A50)</f>
        <v>0</v>
      </c>
      <c r="J50" s="94">
        <f>'Projected CF'!L24-SUMIFS(Transactions!$F:$F,Transactions!$A:$A,"&gt;=1Sept",Transactions!$A:$A,"&lt;=30Sept",Transactions!$E:$E,"="&amp;A50)</f>
        <v>0</v>
      </c>
      <c r="K50" s="94">
        <f>'Projected CF'!M24-SUMIFS(Transactions!$F:$F,Transactions!$A:$A,"&gt;=1oct",Transactions!$A:$A,"&lt;=31oct",Transactions!$E:$E,"="&amp;A50)</f>
        <v>0</v>
      </c>
      <c r="L50" s="94">
        <f>'Projected CF'!N24-SUMIFS(Transactions!$F:$F,Transactions!$A:$A,"&gt;=1nov",Transactions!$A:$A,"&lt;=30nov",Transactions!$E:$E,"="&amp;A50)</f>
        <v>0</v>
      </c>
      <c r="M50" s="94">
        <f>'Projected CF'!O24-SUMIFS(Transactions!$F:$F,Transactions!$A:$A,"&gt;=1dec",Transactions!$A:$A,"&lt;=31dec",Transactions!$E:$E,"="&amp;A50)</f>
        <v>0</v>
      </c>
      <c r="N50" s="94">
        <f>SUM(Variation[[#This Row],[January]:[December]])</f>
        <v>-388.37000000000012</v>
      </c>
    </row>
    <row r="51" spans="1:14">
      <c r="A51" t="str">
        <f>Lists!B10</f>
        <v>Expense 9</v>
      </c>
      <c r="B51" s="94">
        <f>'Projected CF'!D25-SUMIFS(Transactions!$F:$F,Transactions!$A:$A,"&gt;=1Jan",Transactions!$A:$A,"&lt;=31Jan",Transactions!$E:$E,"="&amp;A51)</f>
        <v>0</v>
      </c>
      <c r="C51" s="94">
        <f>'Projected CF'!E25-SUMIFS(Transactions!$F:$F,Transactions!$A:$A,"&gt;=1February",Transactions!$A:$A,"&lt;=28February",Transactions!$E:$E,"="&amp;A51)</f>
        <v>0</v>
      </c>
      <c r="D51" s="94">
        <f>'Projected CF'!F25-SUMIFS(Transactions!$F:$F,Transactions!$A:$A,"&gt;=1mar",Transactions!$A:$A,"&lt;=31mar",Transactions!$E:$E,"="&amp;A51)</f>
        <v>0</v>
      </c>
      <c r="E51" s="94">
        <f>'Projected CF'!G25-SUMIFS(Transactions!$F:$F,Transactions!$A:$A,"&gt;=1Apr",Transactions!$A:$A,"&lt;=30Apr",Transactions!$E:$E,"="&amp;A51)</f>
        <v>0</v>
      </c>
      <c r="F51" s="94">
        <f>'Projected CF'!H25-SUMIFS(Transactions!$F:$F,Transactions!$A:$A,"&gt;=1may",Transactions!$A:$A,"&lt;=31may",Transactions!$E:$E,"="&amp;A51)</f>
        <v>0</v>
      </c>
      <c r="G51" s="94">
        <f>'Projected CF'!I25-SUMIFS(Transactions!$F:$F,Transactions!$A:$A,"&gt;=1Jun",Transactions!$A:$A,"&lt;=30Jun",Transactions!$E:$E,"="&amp;A51)</f>
        <v>0</v>
      </c>
      <c r="H51" s="94">
        <f>'Projected CF'!J25-SUMIFS(Transactions!$F:$F,Transactions!$A:$A,"&gt;=1jul",Transactions!$A:$A,"&lt;=31jul",Transactions!$E:$E,"="&amp;A51)</f>
        <v>0</v>
      </c>
      <c r="I51" s="94">
        <f>'Projected CF'!K25-SUMIFS(Transactions!$F:$F,Transactions!$A:$A,"&gt;=1aug",Transactions!$A:$A,"&lt;=31aug",Transactions!$E:$E,"="&amp;A51)</f>
        <v>0</v>
      </c>
      <c r="J51" s="94">
        <f>'Projected CF'!L25-SUMIFS(Transactions!$F:$F,Transactions!$A:$A,"&gt;=1Sept",Transactions!$A:$A,"&lt;=30Sept",Transactions!$E:$E,"="&amp;A51)</f>
        <v>0</v>
      </c>
      <c r="K51" s="94">
        <f>'Projected CF'!M25-SUMIFS(Transactions!$F:$F,Transactions!$A:$A,"&gt;=1oct",Transactions!$A:$A,"&lt;=31oct",Transactions!$E:$E,"="&amp;A51)</f>
        <v>0</v>
      </c>
      <c r="L51" s="94">
        <f>'Projected CF'!N25-SUMIFS(Transactions!$F:$F,Transactions!$A:$A,"&gt;=1nov",Transactions!$A:$A,"&lt;=30nov",Transactions!$E:$E,"="&amp;A51)</f>
        <v>0</v>
      </c>
      <c r="M51" s="94">
        <f>'Projected CF'!O25-SUMIFS(Transactions!$F:$F,Transactions!$A:$A,"&gt;=1dec",Transactions!$A:$A,"&lt;=31dec",Transactions!$E:$E,"="&amp;A51)</f>
        <v>0</v>
      </c>
      <c r="N51" s="94">
        <f>SUM(Variation[[#This Row],[January]:[December]])</f>
        <v>0</v>
      </c>
    </row>
    <row r="52" spans="1:14">
      <c r="A52" t="str">
        <f>Lists!B11</f>
        <v>Expense 10</v>
      </c>
      <c r="B52" s="94">
        <f>'Projected CF'!D26-SUMIFS(Transactions!$F:$F,Transactions!$A:$A,"&gt;=1Jan",Transactions!$A:$A,"&lt;=31Jan",Transactions!$E:$E,"="&amp;A52)</f>
        <v>0</v>
      </c>
      <c r="C52" s="94">
        <f>'Projected CF'!E26-SUMIFS(Transactions!$F:$F,Transactions!$A:$A,"&gt;=1February",Transactions!$A:$A,"&lt;=28February",Transactions!$E:$E,"="&amp;A52)</f>
        <v>0</v>
      </c>
      <c r="D52" s="94">
        <f>'Projected CF'!F26-SUMIFS(Transactions!$F:$F,Transactions!$A:$A,"&gt;=1mar",Transactions!$A:$A,"&lt;=31mar",Transactions!$E:$E,"="&amp;A52)</f>
        <v>0</v>
      </c>
      <c r="E52" s="94">
        <f>'Projected CF'!G26-SUMIFS(Transactions!$F:$F,Transactions!$A:$A,"&gt;=1Apr",Transactions!$A:$A,"&lt;=30Apr",Transactions!$E:$E,"="&amp;A52)</f>
        <v>0</v>
      </c>
      <c r="F52" s="94">
        <f>'Projected CF'!H26-SUMIFS(Transactions!$F:$F,Transactions!$A:$A,"&gt;=1may",Transactions!$A:$A,"&lt;=31may",Transactions!$E:$E,"="&amp;A52)</f>
        <v>0</v>
      </c>
      <c r="G52" s="94">
        <f>'Projected CF'!I26-SUMIFS(Transactions!$F:$F,Transactions!$A:$A,"&gt;=1Jun",Transactions!$A:$A,"&lt;=30Jun",Transactions!$E:$E,"="&amp;A52)</f>
        <v>0</v>
      </c>
      <c r="H52" s="94">
        <f>'Projected CF'!J26-SUMIFS(Transactions!$F:$F,Transactions!$A:$A,"&gt;=1jul",Transactions!$A:$A,"&lt;=31jul",Transactions!$E:$E,"="&amp;A52)</f>
        <v>0</v>
      </c>
      <c r="I52" s="94">
        <f>'Projected CF'!K26-SUMIFS(Transactions!$F:$F,Transactions!$A:$A,"&gt;=1aug",Transactions!$A:$A,"&lt;=31aug",Transactions!$E:$E,"="&amp;A52)</f>
        <v>0</v>
      </c>
      <c r="J52" s="94">
        <f>'Projected CF'!L26-SUMIFS(Transactions!$F:$F,Transactions!$A:$A,"&gt;=1Sept",Transactions!$A:$A,"&lt;=30Sept",Transactions!$E:$E,"="&amp;A52)</f>
        <v>0</v>
      </c>
      <c r="K52" s="94">
        <f>'Projected CF'!M26-SUMIFS(Transactions!$F:$F,Transactions!$A:$A,"&gt;=1oct",Transactions!$A:$A,"&lt;=31oct",Transactions!$E:$E,"="&amp;A52)</f>
        <v>0</v>
      </c>
      <c r="L52" s="94">
        <f>'Projected CF'!N26-SUMIFS(Transactions!$F:$F,Transactions!$A:$A,"&gt;=1nov",Transactions!$A:$A,"&lt;=30nov",Transactions!$E:$E,"="&amp;A52)</f>
        <v>0</v>
      </c>
      <c r="M52" s="94">
        <f>'Projected CF'!O26-SUMIFS(Transactions!$F:$F,Transactions!$A:$A,"&gt;=1dec",Transactions!$A:$A,"&lt;=31dec",Transactions!$E:$E,"="&amp;A52)</f>
        <v>0</v>
      </c>
      <c r="N52" s="94">
        <f>SUM(Variation[[#This Row],[January]:[December]])</f>
        <v>0</v>
      </c>
    </row>
    <row r="53" spans="1:14">
      <c r="A53" t="str">
        <f>Lists!B12</f>
        <v>Expense 11</v>
      </c>
      <c r="B53" s="94">
        <f>'Projected CF'!D27-SUMIFS(Transactions!$F:$F,Transactions!$A:$A,"&gt;=1Jan",Transactions!$A:$A,"&lt;=31Jan",Transactions!$E:$E,"="&amp;A53)</f>
        <v>0</v>
      </c>
      <c r="C53" s="94">
        <f>'Projected CF'!E27-SUMIFS(Transactions!$F:$F,Transactions!$A:$A,"&gt;=1February",Transactions!$A:$A,"&lt;=28February",Transactions!$E:$E,"="&amp;A53)</f>
        <v>0</v>
      </c>
      <c r="D53" s="94">
        <f>'Projected CF'!F27-SUMIFS(Transactions!$F:$F,Transactions!$A:$A,"&gt;=1mar",Transactions!$A:$A,"&lt;=31mar",Transactions!$E:$E,"="&amp;A53)</f>
        <v>0</v>
      </c>
      <c r="E53" s="94">
        <f>'Projected CF'!G27-SUMIFS(Transactions!$F:$F,Transactions!$A:$A,"&gt;=1Apr",Transactions!$A:$A,"&lt;=30Apr",Transactions!$E:$E,"="&amp;A53)</f>
        <v>0</v>
      </c>
      <c r="F53" s="94">
        <f>'Projected CF'!H27-SUMIFS(Transactions!$F:$F,Transactions!$A:$A,"&gt;=1may",Transactions!$A:$A,"&lt;=31may",Transactions!$E:$E,"="&amp;A53)</f>
        <v>0</v>
      </c>
      <c r="G53" s="94">
        <f>'Projected CF'!I27-SUMIFS(Transactions!$F:$F,Transactions!$A:$A,"&gt;=1Jun",Transactions!$A:$A,"&lt;=30Jun",Transactions!$E:$E,"="&amp;A53)</f>
        <v>0</v>
      </c>
      <c r="H53" s="94">
        <f>'Projected CF'!J27-SUMIFS(Transactions!$F:$F,Transactions!$A:$A,"&gt;=1jul",Transactions!$A:$A,"&lt;=31jul",Transactions!$E:$E,"="&amp;A53)</f>
        <v>0</v>
      </c>
      <c r="I53" s="94">
        <f>'Projected CF'!K27-SUMIFS(Transactions!$F:$F,Transactions!$A:$A,"&gt;=1aug",Transactions!$A:$A,"&lt;=31aug",Transactions!$E:$E,"="&amp;A53)</f>
        <v>0</v>
      </c>
      <c r="J53" s="94">
        <f>'Projected CF'!L27-SUMIFS(Transactions!$F:$F,Transactions!$A:$A,"&gt;=1Sept",Transactions!$A:$A,"&lt;=30Sept",Transactions!$E:$E,"="&amp;A53)</f>
        <v>0</v>
      </c>
      <c r="K53" s="94">
        <f>'Projected CF'!M27-SUMIFS(Transactions!$F:$F,Transactions!$A:$A,"&gt;=1oct",Transactions!$A:$A,"&lt;=31oct",Transactions!$E:$E,"="&amp;A53)</f>
        <v>0</v>
      </c>
      <c r="L53" s="94">
        <f>'Projected CF'!N27-SUMIFS(Transactions!$F:$F,Transactions!$A:$A,"&gt;=1nov",Transactions!$A:$A,"&lt;=30nov",Transactions!$E:$E,"="&amp;A53)</f>
        <v>0</v>
      </c>
      <c r="M53" s="94">
        <f>'Projected CF'!O27-SUMIFS(Transactions!$F:$F,Transactions!$A:$A,"&gt;=1dec",Transactions!$A:$A,"&lt;=31dec",Transactions!$E:$E,"="&amp;A53)</f>
        <v>0</v>
      </c>
      <c r="N53" s="94">
        <f>SUM(Variation[[#This Row],[January]:[December]])</f>
        <v>0</v>
      </c>
    </row>
    <row r="54" spans="1:14">
      <c r="A54" t="s">
        <v>11</v>
      </c>
      <c r="B54" s="90">
        <f>SUBTOTAL(109,Variation[January])</f>
        <v>1163.3966666666668</v>
      </c>
      <c r="C54" s="90">
        <f>SUBTOTAL(109,Variation[February])</f>
        <v>1648.2966666666666</v>
      </c>
      <c r="D54" s="90">
        <f>SUBTOTAL(109,Variation[March])</f>
        <v>1990.1366666666668</v>
      </c>
      <c r="E54" s="90">
        <f>SUBTOTAL(109,Variation[April])</f>
        <v>2701.1166666666668</v>
      </c>
      <c r="F54" s="90">
        <f>SUBTOTAL(109,Variation[[ May  ]])</f>
        <v>746.64666666666676</v>
      </c>
      <c r="G54" s="90">
        <f>SUBTOTAL(109,Variation[June])</f>
        <v>1724.1866666666665</v>
      </c>
      <c r="H54" s="90">
        <f>SUBTOTAL(109,Variation[[ July  ]])</f>
        <v>1468.5366666666666</v>
      </c>
      <c r="I54" s="90">
        <f>SUBTOTAL(109,Variation[August])</f>
        <v>1846.6666666666667</v>
      </c>
      <c r="J54" s="90">
        <f>SUBTOTAL(109,Variation[September])</f>
        <v>1846.6666666666667</v>
      </c>
      <c r="K54" s="90">
        <f>SUBTOTAL(109,Variation[October])</f>
        <v>1846.6666666666667</v>
      </c>
      <c r="L54" s="90">
        <f>SUBTOTAL(109,Variation[November])</f>
        <v>1846.6666666666667</v>
      </c>
      <c r="M54" s="90">
        <f>SUBTOTAL(109,Variation[December])</f>
        <v>1846.6666666666667</v>
      </c>
      <c r="N54" s="90">
        <f>SUBTOTAL(109,Variation[[ Total ]])</f>
        <v>20675.650000000001</v>
      </c>
    </row>
    <row r="55" spans="1:14">
      <c r="A55" t="s">
        <v>65</v>
      </c>
      <c r="B55" s="98">
        <f>Variation[[#Totals],[January]]</f>
        <v>1163.3966666666668</v>
      </c>
      <c r="C55" s="90">
        <f>Variation[[#Totals],[January]]+Variation[[#Totals],[February]]</f>
        <v>2811.6933333333336</v>
      </c>
      <c r="D55" s="90">
        <f>C55+Variation[[#Totals],[March]]</f>
        <v>4801.83</v>
      </c>
      <c r="E55" s="90">
        <f>D55+Variation[[#Totals],[April]]</f>
        <v>7502.9466666666667</v>
      </c>
      <c r="F55" s="90">
        <f>E55+Variation[[#Totals],[ May  ]]</f>
        <v>8249.5933333333342</v>
      </c>
      <c r="G55" s="90">
        <f>F55+Variation[[#Totals],[June]]</f>
        <v>9973.7800000000007</v>
      </c>
      <c r="H55" s="90">
        <f>G55+Variation[[#Totals],[ July  ]]</f>
        <v>11442.316666666668</v>
      </c>
      <c r="I55" s="90">
        <f>H55+Variation[[#Totals],[August]]</f>
        <v>13288.983333333334</v>
      </c>
      <c r="J55" s="90">
        <f>I55+Variation[[#Totals],[September]]</f>
        <v>15135.65</v>
      </c>
      <c r="K55" s="90">
        <f>J55+Variation[[#Totals],[October]]</f>
        <v>16982.316666666666</v>
      </c>
      <c r="L55" s="90">
        <f>K55+Variation[[#Totals],[November]]</f>
        <v>18828.983333333334</v>
      </c>
      <c r="M55" s="90"/>
    </row>
  </sheetData>
  <mergeCells count="2">
    <mergeCell ref="A41:N41"/>
    <mergeCell ref="J24:M24"/>
  </mergeCells>
  <conditionalFormatting sqref="B43:N54">
    <cfRule type="colorScale" priority="1">
      <colorScale>
        <cfvo type="num" val="&quot;&gt;0&quot;"/>
        <cfvo type="num" val="&quot;&lt;0&quot;"/>
        <color theme="9"/>
        <color rgb="FFFF0000"/>
      </colorScale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69546-610C-4473-96B1-85C1D1AAA29F}">
  <sheetPr codeName="Sheet1">
    <pageSetUpPr fitToPage="1"/>
  </sheetPr>
  <dimension ref="A1:H27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10.140625" style="153" bestFit="1" customWidth="1"/>
    <col min="2" max="2" width="15.28515625" style="93" bestFit="1" customWidth="1"/>
    <col min="3" max="3" width="30.28515625" bestFit="1" customWidth="1"/>
    <col min="4" max="4" width="14.5703125" customWidth="1"/>
    <col min="5" max="5" width="18" bestFit="1" customWidth="1"/>
    <col min="6" max="6" width="13" bestFit="1" customWidth="1"/>
    <col min="8" max="8" width="11" bestFit="1" customWidth="1"/>
  </cols>
  <sheetData>
    <row r="1" spans="1:6" ht="25.5">
      <c r="A1" s="147" t="s">
        <v>0</v>
      </c>
      <c r="B1" s="2" t="s">
        <v>1</v>
      </c>
      <c r="C1" s="3" t="s">
        <v>2</v>
      </c>
      <c r="D1" s="1" t="s">
        <v>52</v>
      </c>
      <c r="E1" s="1" t="s">
        <v>53</v>
      </c>
      <c r="F1" s="1" t="s">
        <v>12</v>
      </c>
    </row>
    <row r="2" spans="1:6" s="5" customFormat="1">
      <c r="A2" s="148">
        <v>43466</v>
      </c>
      <c r="B2" s="91" t="s">
        <v>56</v>
      </c>
      <c r="C2" s="4" t="s">
        <v>10</v>
      </c>
      <c r="D2" s="123" t="s">
        <v>3</v>
      </c>
      <c r="E2" s="123" t="s">
        <v>9</v>
      </c>
      <c r="F2" s="22">
        <v>2441.8300000000163</v>
      </c>
    </row>
    <row r="3" spans="1:6" s="5" customFormat="1">
      <c r="A3" s="149">
        <v>43466</v>
      </c>
      <c r="B3" s="6" t="s">
        <v>56</v>
      </c>
      <c r="C3" s="9" t="s">
        <v>99</v>
      </c>
      <c r="D3" s="8" t="s">
        <v>97</v>
      </c>
      <c r="E3" s="8" t="s">
        <v>6</v>
      </c>
      <c r="F3" s="23">
        <v>385</v>
      </c>
    </row>
    <row r="4" spans="1:6" s="5" customFormat="1">
      <c r="A4" s="149">
        <v>43467</v>
      </c>
      <c r="B4" s="92" t="s">
        <v>56</v>
      </c>
      <c r="C4" s="7" t="s">
        <v>96</v>
      </c>
      <c r="D4" s="8" t="s">
        <v>97</v>
      </c>
      <c r="E4" s="8" t="s">
        <v>98</v>
      </c>
      <c r="F4" s="23">
        <v>4</v>
      </c>
    </row>
    <row r="5" spans="1:6" s="5" customFormat="1">
      <c r="A5" s="149">
        <v>43468</v>
      </c>
      <c r="B5" s="92" t="s">
        <v>56</v>
      </c>
      <c r="C5" s="7" t="s">
        <v>109</v>
      </c>
      <c r="D5" s="8" t="s">
        <v>3</v>
      </c>
      <c r="E5" s="8" t="s">
        <v>30</v>
      </c>
      <c r="F5" s="23">
        <v>100</v>
      </c>
    </row>
    <row r="6" spans="1:6">
      <c r="A6" s="149">
        <v>43472</v>
      </c>
      <c r="B6" s="92" t="s">
        <v>56</v>
      </c>
      <c r="C6" s="7" t="s">
        <v>110</v>
      </c>
      <c r="D6" s="8" t="s">
        <v>97</v>
      </c>
      <c r="E6" s="8" t="s">
        <v>98</v>
      </c>
      <c r="F6" s="20">
        <v>28.98</v>
      </c>
    </row>
    <row r="7" spans="1:6">
      <c r="A7" s="149">
        <v>43475</v>
      </c>
      <c r="B7" s="92" t="s">
        <v>111</v>
      </c>
      <c r="C7" s="7" t="s">
        <v>112</v>
      </c>
      <c r="D7" s="8" t="s">
        <v>97</v>
      </c>
      <c r="E7" s="8" t="s">
        <v>95</v>
      </c>
      <c r="F7" s="20">
        <v>13.92</v>
      </c>
    </row>
    <row r="8" spans="1:6">
      <c r="A8" s="149">
        <v>43475</v>
      </c>
      <c r="B8" s="92" t="s">
        <v>111</v>
      </c>
      <c r="C8" s="7" t="s">
        <v>113</v>
      </c>
      <c r="D8" s="8" t="s">
        <v>97</v>
      </c>
      <c r="E8" s="8" t="s">
        <v>7</v>
      </c>
      <c r="F8" s="23">
        <v>34.119999999999997</v>
      </c>
    </row>
    <row r="9" spans="1:6">
      <c r="A9" s="149">
        <v>43475</v>
      </c>
      <c r="B9" s="6" t="s">
        <v>56</v>
      </c>
      <c r="C9" s="9" t="s">
        <v>116</v>
      </c>
      <c r="D9" s="8" t="s">
        <v>3</v>
      </c>
      <c r="E9" s="8" t="s">
        <v>30</v>
      </c>
      <c r="F9" s="23">
        <v>0.22</v>
      </c>
    </row>
    <row r="10" spans="1:6">
      <c r="A10" s="149">
        <v>43481</v>
      </c>
      <c r="B10" s="92" t="s">
        <v>111</v>
      </c>
      <c r="C10" s="7" t="s">
        <v>114</v>
      </c>
      <c r="D10" s="8" t="s">
        <v>97</v>
      </c>
      <c r="E10" s="8" t="s">
        <v>7</v>
      </c>
      <c r="F10" s="20">
        <v>10.91</v>
      </c>
    </row>
    <row r="11" spans="1:6">
      <c r="A11" s="149">
        <v>43481</v>
      </c>
      <c r="B11" s="92" t="s">
        <v>111</v>
      </c>
      <c r="C11" s="7" t="s">
        <v>115</v>
      </c>
      <c r="D11" s="8" t="s">
        <v>97</v>
      </c>
      <c r="E11" s="8" t="s">
        <v>8</v>
      </c>
      <c r="F11" s="20">
        <v>14</v>
      </c>
    </row>
    <row r="12" spans="1:6">
      <c r="A12" s="149">
        <v>43483</v>
      </c>
      <c r="B12" s="92" t="s">
        <v>111</v>
      </c>
      <c r="C12" s="7" t="s">
        <v>117</v>
      </c>
      <c r="D12" s="8" t="s">
        <v>97</v>
      </c>
      <c r="E12" s="8" t="s">
        <v>95</v>
      </c>
      <c r="F12" s="20">
        <v>546.14</v>
      </c>
    </row>
    <row r="13" spans="1:6">
      <c r="A13" s="149">
        <v>43488</v>
      </c>
      <c r="B13" s="92" t="s">
        <v>111</v>
      </c>
      <c r="C13" s="7" t="s">
        <v>118</v>
      </c>
      <c r="D13" s="8" t="s">
        <v>97</v>
      </c>
      <c r="E13" s="8" t="s">
        <v>7</v>
      </c>
      <c r="F13" s="20">
        <v>10.18</v>
      </c>
    </row>
    <row r="14" spans="1:6">
      <c r="A14" s="149">
        <v>43494</v>
      </c>
      <c r="B14" s="92" t="s">
        <v>111</v>
      </c>
      <c r="C14" s="7" t="s">
        <v>119</v>
      </c>
      <c r="D14" s="8" t="s">
        <v>97</v>
      </c>
      <c r="E14" s="8" t="s">
        <v>94</v>
      </c>
      <c r="F14" s="20">
        <v>20</v>
      </c>
    </row>
    <row r="15" spans="1:6">
      <c r="A15" s="149">
        <v>43496</v>
      </c>
      <c r="B15" s="6" t="s">
        <v>56</v>
      </c>
      <c r="C15" s="9" t="s">
        <v>96</v>
      </c>
      <c r="D15" s="8" t="s">
        <v>97</v>
      </c>
      <c r="E15" s="8" t="s">
        <v>98</v>
      </c>
      <c r="F15" s="20">
        <v>4</v>
      </c>
    </row>
    <row r="16" spans="1:6">
      <c r="A16" s="149">
        <v>43496</v>
      </c>
      <c r="B16" s="6" t="s">
        <v>56</v>
      </c>
      <c r="C16" s="9" t="s">
        <v>122</v>
      </c>
      <c r="D16" s="8" t="s">
        <v>3</v>
      </c>
      <c r="E16" s="8" t="s">
        <v>30</v>
      </c>
      <c r="F16" s="20">
        <v>0.56999999999999995</v>
      </c>
    </row>
    <row r="17" spans="1:6">
      <c r="A17" s="149">
        <v>43498</v>
      </c>
      <c r="B17" s="92" t="s">
        <v>111</v>
      </c>
      <c r="C17" s="7" t="s">
        <v>120</v>
      </c>
      <c r="D17" s="8" t="s">
        <v>97</v>
      </c>
      <c r="E17" s="8" t="s">
        <v>8</v>
      </c>
      <c r="F17" s="20">
        <v>500</v>
      </c>
    </row>
    <row r="18" spans="1:6">
      <c r="A18" s="149">
        <v>43499</v>
      </c>
      <c r="B18" s="92" t="s">
        <v>111</v>
      </c>
      <c r="C18" s="7" t="s">
        <v>121</v>
      </c>
      <c r="D18" s="8" t="s">
        <v>97</v>
      </c>
      <c r="E18" s="8" t="s">
        <v>7</v>
      </c>
      <c r="F18" s="23">
        <v>63.57</v>
      </c>
    </row>
    <row r="19" spans="1:6">
      <c r="A19" s="149">
        <v>43501</v>
      </c>
      <c r="B19" s="92" t="s">
        <v>111</v>
      </c>
      <c r="C19" s="7" t="s">
        <v>99</v>
      </c>
      <c r="D19" s="8" t="s">
        <v>97</v>
      </c>
      <c r="E19" s="8" t="s">
        <v>6</v>
      </c>
      <c r="F19" s="20">
        <v>385</v>
      </c>
    </row>
    <row r="20" spans="1:6">
      <c r="A20" s="149">
        <v>43501</v>
      </c>
      <c r="B20" s="92" t="s">
        <v>111</v>
      </c>
      <c r="C20" s="7" t="s">
        <v>110</v>
      </c>
      <c r="D20" s="8" t="s">
        <v>97</v>
      </c>
      <c r="E20" s="8" t="s">
        <v>55</v>
      </c>
      <c r="F20" s="20">
        <v>28.98</v>
      </c>
    </row>
    <row r="21" spans="1:6">
      <c r="A21" s="149">
        <v>43504</v>
      </c>
      <c r="B21" s="92" t="s">
        <v>111</v>
      </c>
      <c r="C21" s="7" t="s">
        <v>123</v>
      </c>
      <c r="D21" s="8" t="s">
        <v>97</v>
      </c>
      <c r="E21" s="8" t="s">
        <v>7</v>
      </c>
      <c r="F21" s="20">
        <v>11.36</v>
      </c>
    </row>
    <row r="22" spans="1:6">
      <c r="A22" s="149">
        <v>43504</v>
      </c>
      <c r="B22" s="92" t="s">
        <v>111</v>
      </c>
      <c r="C22" s="7" t="s">
        <v>122</v>
      </c>
      <c r="D22" s="8" t="s">
        <v>3</v>
      </c>
      <c r="E22" s="8" t="s">
        <v>30</v>
      </c>
      <c r="F22" s="20">
        <v>0.14000000000000001</v>
      </c>
    </row>
    <row r="23" spans="1:6">
      <c r="A23" s="149">
        <v>43516</v>
      </c>
      <c r="B23" s="92" t="s">
        <v>111</v>
      </c>
      <c r="C23" s="7" t="s">
        <v>124</v>
      </c>
      <c r="D23" s="8" t="s">
        <v>97</v>
      </c>
      <c r="E23" s="8" t="s">
        <v>8</v>
      </c>
      <c r="F23" s="20">
        <v>8.99</v>
      </c>
    </row>
    <row r="24" spans="1:6">
      <c r="A24" s="149">
        <v>43521</v>
      </c>
      <c r="B24" s="92" t="s">
        <v>111</v>
      </c>
      <c r="C24" s="7" t="s">
        <v>125</v>
      </c>
      <c r="D24" s="8" t="s">
        <v>97</v>
      </c>
      <c r="E24" s="8" t="s">
        <v>130</v>
      </c>
      <c r="F24" s="20">
        <v>24.23</v>
      </c>
    </row>
    <row r="25" spans="1:6">
      <c r="A25" s="149">
        <v>43523</v>
      </c>
      <c r="B25" s="92" t="s">
        <v>111</v>
      </c>
      <c r="C25" s="7" t="s">
        <v>126</v>
      </c>
      <c r="D25" s="8" t="s">
        <v>97</v>
      </c>
      <c r="E25" s="8" t="s">
        <v>55</v>
      </c>
      <c r="F25" s="20">
        <v>14.22</v>
      </c>
    </row>
    <row r="26" spans="1:6">
      <c r="A26" s="149">
        <v>43524</v>
      </c>
      <c r="B26" s="92" t="s">
        <v>56</v>
      </c>
      <c r="C26" s="7" t="s">
        <v>122</v>
      </c>
      <c r="D26" s="8" t="s">
        <v>3</v>
      </c>
      <c r="E26" s="8" t="s">
        <v>30</v>
      </c>
      <c r="F26" s="23">
        <v>0.15</v>
      </c>
    </row>
    <row r="27" spans="1:6">
      <c r="A27" s="149">
        <v>43525</v>
      </c>
      <c r="B27" s="92" t="s">
        <v>56</v>
      </c>
      <c r="C27" s="7" t="s">
        <v>116</v>
      </c>
      <c r="D27" s="8" t="s">
        <v>3</v>
      </c>
      <c r="E27" s="8" t="s">
        <v>30</v>
      </c>
      <c r="F27" s="23">
        <v>0.06</v>
      </c>
    </row>
    <row r="28" spans="1:6">
      <c r="A28" s="149">
        <v>43527</v>
      </c>
      <c r="B28" s="92" t="s">
        <v>111</v>
      </c>
      <c r="C28" s="7" t="s">
        <v>96</v>
      </c>
      <c r="D28" s="8" t="s">
        <v>97</v>
      </c>
      <c r="E28" s="8" t="s">
        <v>55</v>
      </c>
      <c r="F28" s="23">
        <v>4</v>
      </c>
    </row>
    <row r="29" spans="1:6">
      <c r="A29" s="149">
        <v>43527</v>
      </c>
      <c r="B29" s="92" t="s">
        <v>111</v>
      </c>
      <c r="C29" s="7" t="s">
        <v>127</v>
      </c>
      <c r="D29" s="8" t="s">
        <v>97</v>
      </c>
      <c r="E29" s="8" t="s">
        <v>130</v>
      </c>
      <c r="F29" s="20">
        <v>12.71</v>
      </c>
    </row>
    <row r="30" spans="1:6">
      <c r="A30" s="149">
        <v>43531</v>
      </c>
      <c r="B30" s="92" t="s">
        <v>56</v>
      </c>
      <c r="C30" s="7" t="s">
        <v>116</v>
      </c>
      <c r="D30" s="8" t="s">
        <v>3</v>
      </c>
      <c r="E30" s="8" t="s">
        <v>30</v>
      </c>
      <c r="F30" s="20">
        <v>0.02</v>
      </c>
    </row>
    <row r="31" spans="1:6">
      <c r="A31" s="149">
        <v>43534</v>
      </c>
      <c r="B31" s="92" t="s">
        <v>111</v>
      </c>
      <c r="C31" s="7" t="s">
        <v>113</v>
      </c>
      <c r="D31" s="8" t="s">
        <v>97</v>
      </c>
      <c r="E31" s="8" t="s">
        <v>7</v>
      </c>
      <c r="F31" s="20">
        <v>20.85</v>
      </c>
    </row>
    <row r="32" spans="1:6">
      <c r="A32" s="149">
        <v>43535</v>
      </c>
      <c r="B32" s="92" t="s">
        <v>111</v>
      </c>
      <c r="C32" s="7" t="s">
        <v>115</v>
      </c>
      <c r="D32" s="8" t="s">
        <v>97</v>
      </c>
      <c r="E32" s="8" t="s">
        <v>8</v>
      </c>
      <c r="F32" s="20">
        <v>14</v>
      </c>
    </row>
    <row r="33" spans="1:6">
      <c r="A33" s="149">
        <v>43546</v>
      </c>
      <c r="B33" s="92" t="s">
        <v>111</v>
      </c>
      <c r="C33" s="7" t="s">
        <v>110</v>
      </c>
      <c r="D33" s="8" t="s">
        <v>97</v>
      </c>
      <c r="E33" s="8" t="s">
        <v>55</v>
      </c>
      <c r="F33" s="20">
        <v>41.48</v>
      </c>
    </row>
    <row r="34" spans="1:6">
      <c r="A34" s="149">
        <v>43548</v>
      </c>
      <c r="B34" s="92" t="s">
        <v>111</v>
      </c>
      <c r="C34" s="7" t="s">
        <v>131</v>
      </c>
      <c r="D34" s="8" t="s">
        <v>97</v>
      </c>
      <c r="E34" s="8" t="s">
        <v>7</v>
      </c>
      <c r="F34" s="20">
        <v>41.47</v>
      </c>
    </row>
    <row r="35" spans="1:6">
      <c r="A35" s="149">
        <v>43551</v>
      </c>
      <c r="B35" s="6" t="s">
        <v>56</v>
      </c>
      <c r="C35" s="9" t="s">
        <v>134</v>
      </c>
      <c r="D35" s="8" t="s">
        <v>3</v>
      </c>
      <c r="E35" s="8" t="s">
        <v>30</v>
      </c>
      <c r="F35" s="20">
        <v>0.3</v>
      </c>
    </row>
    <row r="36" spans="1:6">
      <c r="A36" s="149">
        <v>43553</v>
      </c>
      <c r="B36" s="6" t="s">
        <v>56</v>
      </c>
      <c r="C36" s="9" t="s">
        <v>122</v>
      </c>
      <c r="D36" s="8" t="s">
        <v>3</v>
      </c>
      <c r="E36" s="8" t="s">
        <v>30</v>
      </c>
      <c r="F36" s="20">
        <v>7.0000000000000007E-2</v>
      </c>
    </row>
    <row r="37" spans="1:6">
      <c r="A37" s="149">
        <v>43554</v>
      </c>
      <c r="B37" s="92" t="s">
        <v>56</v>
      </c>
      <c r="C37" s="7" t="s">
        <v>120</v>
      </c>
      <c r="D37" s="8" t="s">
        <v>97</v>
      </c>
      <c r="E37" s="8" t="s">
        <v>8</v>
      </c>
      <c r="F37" s="20">
        <v>60</v>
      </c>
    </row>
    <row r="38" spans="1:6">
      <c r="A38" s="149">
        <v>43556</v>
      </c>
      <c r="B38" s="92" t="s">
        <v>56</v>
      </c>
      <c r="C38" s="7" t="s">
        <v>116</v>
      </c>
      <c r="D38" s="8" t="s">
        <v>3</v>
      </c>
      <c r="E38" s="8" t="s">
        <v>30</v>
      </c>
      <c r="F38" s="20">
        <v>0.19</v>
      </c>
    </row>
    <row r="39" spans="1:6">
      <c r="A39" s="149">
        <v>43556</v>
      </c>
      <c r="B39" s="92" t="s">
        <v>111</v>
      </c>
      <c r="C39" s="7" t="s">
        <v>132</v>
      </c>
      <c r="D39" s="8" t="s">
        <v>3</v>
      </c>
      <c r="E39" s="8" t="s">
        <v>30</v>
      </c>
      <c r="F39" s="20">
        <v>0.71</v>
      </c>
    </row>
    <row r="40" spans="1:6">
      <c r="A40" s="149">
        <v>43556</v>
      </c>
      <c r="B40" s="6" t="s">
        <v>56</v>
      </c>
      <c r="C40" s="9" t="s">
        <v>96</v>
      </c>
      <c r="D40" s="8" t="s">
        <v>97</v>
      </c>
      <c r="E40" s="8" t="s">
        <v>98</v>
      </c>
      <c r="F40" s="20">
        <v>4</v>
      </c>
    </row>
    <row r="41" spans="1:6">
      <c r="A41" s="149">
        <v>43557</v>
      </c>
      <c r="B41" s="92" t="s">
        <v>111</v>
      </c>
      <c r="C41" s="7" t="s">
        <v>133</v>
      </c>
      <c r="D41" s="8" t="s">
        <v>97</v>
      </c>
      <c r="E41" s="8" t="s">
        <v>55</v>
      </c>
      <c r="F41" s="20">
        <v>18.71</v>
      </c>
    </row>
    <row r="42" spans="1:6">
      <c r="A42" s="149">
        <v>43558</v>
      </c>
      <c r="B42" s="92" t="s">
        <v>56</v>
      </c>
      <c r="C42" s="7" t="s">
        <v>120</v>
      </c>
      <c r="D42" s="8" t="s">
        <v>97</v>
      </c>
      <c r="E42" s="8" t="s">
        <v>8</v>
      </c>
      <c r="F42" s="20">
        <v>100</v>
      </c>
    </row>
    <row r="43" spans="1:6">
      <c r="A43" s="149">
        <v>43565</v>
      </c>
      <c r="B43" s="92" t="s">
        <v>111</v>
      </c>
      <c r="C43" s="7" t="s">
        <v>135</v>
      </c>
      <c r="D43" s="8" t="s">
        <v>97</v>
      </c>
      <c r="E43" s="8" t="s">
        <v>55</v>
      </c>
      <c r="F43" s="20">
        <v>2.1800000000000002</v>
      </c>
    </row>
    <row r="44" spans="1:6">
      <c r="A44" s="149">
        <v>43565</v>
      </c>
      <c r="B44" s="92" t="s">
        <v>111</v>
      </c>
      <c r="C44" s="7" t="s">
        <v>136</v>
      </c>
      <c r="D44" s="8" t="s">
        <v>97</v>
      </c>
      <c r="E44" s="8" t="s">
        <v>7</v>
      </c>
      <c r="F44" s="20">
        <v>33.49</v>
      </c>
    </row>
    <row r="45" spans="1:6">
      <c r="A45" s="149">
        <v>43566</v>
      </c>
      <c r="B45" s="92" t="s">
        <v>111</v>
      </c>
      <c r="C45" s="7" t="s">
        <v>119</v>
      </c>
      <c r="D45" s="8" t="s">
        <v>97</v>
      </c>
      <c r="E45" s="8" t="s">
        <v>94</v>
      </c>
      <c r="F45" s="20">
        <v>20</v>
      </c>
    </row>
    <row r="46" spans="1:6">
      <c r="A46" s="149">
        <v>43569</v>
      </c>
      <c r="B46" s="92" t="s">
        <v>111</v>
      </c>
      <c r="C46" s="7" t="s">
        <v>124</v>
      </c>
      <c r="D46" s="8" t="s">
        <v>97</v>
      </c>
      <c r="E46" s="8" t="s">
        <v>8</v>
      </c>
      <c r="F46" s="20">
        <v>14</v>
      </c>
    </row>
    <row r="47" spans="1:6">
      <c r="A47" s="149">
        <v>43577</v>
      </c>
      <c r="B47" s="92" t="s">
        <v>56</v>
      </c>
      <c r="C47" s="7" t="s">
        <v>137</v>
      </c>
      <c r="D47" s="8" t="s">
        <v>3</v>
      </c>
      <c r="E47" s="8" t="s">
        <v>30</v>
      </c>
      <c r="F47" s="20">
        <v>60</v>
      </c>
    </row>
    <row r="48" spans="1:6">
      <c r="A48" s="149">
        <v>43579</v>
      </c>
      <c r="B48" s="92" t="s">
        <v>111</v>
      </c>
      <c r="C48" s="7" t="s">
        <v>138</v>
      </c>
      <c r="D48" s="8" t="s">
        <v>3</v>
      </c>
      <c r="E48" s="8" t="s">
        <v>9</v>
      </c>
      <c r="F48" s="20">
        <v>47.62</v>
      </c>
    </row>
    <row r="49" spans="1:6">
      <c r="A49" s="149">
        <v>43580</v>
      </c>
      <c r="B49" s="92" t="s">
        <v>56</v>
      </c>
      <c r="C49" s="7" t="s">
        <v>141</v>
      </c>
      <c r="D49" s="8" t="s">
        <v>97</v>
      </c>
      <c r="E49" s="8" t="s">
        <v>8</v>
      </c>
      <c r="F49" s="20">
        <v>60</v>
      </c>
    </row>
    <row r="50" spans="1:6">
      <c r="A50" s="149">
        <v>43580</v>
      </c>
      <c r="B50" s="92" t="s">
        <v>111</v>
      </c>
      <c r="C50" s="7" t="s">
        <v>139</v>
      </c>
      <c r="D50" s="8" t="s">
        <v>97</v>
      </c>
      <c r="E50" s="8" t="s">
        <v>8</v>
      </c>
      <c r="F50" s="20">
        <v>23</v>
      </c>
    </row>
    <row r="51" spans="1:6">
      <c r="A51" s="149">
        <v>43581</v>
      </c>
      <c r="B51" s="6" t="s">
        <v>111</v>
      </c>
      <c r="C51" s="9" t="s">
        <v>158</v>
      </c>
      <c r="D51" s="8" t="s">
        <v>97</v>
      </c>
      <c r="E51" s="8" t="s">
        <v>94</v>
      </c>
      <c r="F51" s="20">
        <v>12</v>
      </c>
    </row>
    <row r="52" spans="1:6">
      <c r="A52" s="149">
        <v>43581</v>
      </c>
      <c r="B52" s="92" t="s">
        <v>56</v>
      </c>
      <c r="C52" s="7" t="s">
        <v>138</v>
      </c>
      <c r="D52" s="8" t="s">
        <v>3</v>
      </c>
      <c r="E52" s="8" t="s">
        <v>9</v>
      </c>
      <c r="F52" s="20">
        <v>1133.8800000000001</v>
      </c>
    </row>
    <row r="53" spans="1:6">
      <c r="A53" s="149">
        <v>43583</v>
      </c>
      <c r="B53" s="92" t="s">
        <v>56</v>
      </c>
      <c r="C53" s="7" t="s">
        <v>140</v>
      </c>
      <c r="D53" s="8" t="s">
        <v>3</v>
      </c>
      <c r="E53" s="8" t="s">
        <v>30</v>
      </c>
      <c r="F53" s="20">
        <v>3</v>
      </c>
    </row>
    <row r="54" spans="1:6">
      <c r="A54" s="149">
        <v>43584</v>
      </c>
      <c r="B54" s="92" t="s">
        <v>111</v>
      </c>
      <c r="C54" s="7" t="s">
        <v>141</v>
      </c>
      <c r="D54" s="8" t="s">
        <v>97</v>
      </c>
      <c r="E54" s="8" t="s">
        <v>8</v>
      </c>
      <c r="F54" s="20">
        <v>100</v>
      </c>
    </row>
    <row r="55" spans="1:6">
      <c r="A55" s="149">
        <v>43584</v>
      </c>
      <c r="B55" s="92" t="s">
        <v>111</v>
      </c>
      <c r="C55" s="7" t="s">
        <v>142</v>
      </c>
      <c r="D55" s="8" t="s">
        <v>97</v>
      </c>
      <c r="E55" s="8" t="s">
        <v>94</v>
      </c>
      <c r="F55" s="20">
        <v>20</v>
      </c>
    </row>
    <row r="56" spans="1:6">
      <c r="A56" s="149">
        <v>43585</v>
      </c>
      <c r="B56" s="92" t="s">
        <v>56</v>
      </c>
      <c r="C56" s="7" t="s">
        <v>143</v>
      </c>
      <c r="D56" s="8" t="s">
        <v>97</v>
      </c>
      <c r="E56" s="8" t="s">
        <v>8</v>
      </c>
      <c r="F56" s="20">
        <v>5</v>
      </c>
    </row>
    <row r="57" spans="1:6">
      <c r="A57" s="149">
        <v>43585</v>
      </c>
      <c r="B57" s="92" t="s">
        <v>111</v>
      </c>
      <c r="C57" s="7" t="s">
        <v>144</v>
      </c>
      <c r="D57" s="8" t="s">
        <v>97</v>
      </c>
      <c r="E57" s="8" t="s">
        <v>95</v>
      </c>
      <c r="F57" s="23">
        <v>49.13</v>
      </c>
    </row>
    <row r="58" spans="1:6">
      <c r="A58" s="149">
        <v>43585</v>
      </c>
      <c r="B58" s="92" t="s">
        <v>111</v>
      </c>
      <c r="C58" s="7" t="s">
        <v>145</v>
      </c>
      <c r="D58" s="8" t="s">
        <v>97</v>
      </c>
      <c r="E58" s="8" t="s">
        <v>8</v>
      </c>
      <c r="F58" s="20">
        <v>9.0399999999999991</v>
      </c>
    </row>
    <row r="59" spans="1:6">
      <c r="A59" s="149">
        <v>43586</v>
      </c>
      <c r="B59" s="92" t="s">
        <v>111</v>
      </c>
      <c r="C59" s="7" t="s">
        <v>96</v>
      </c>
      <c r="D59" s="8" t="s">
        <v>97</v>
      </c>
      <c r="E59" s="8" t="s">
        <v>55</v>
      </c>
      <c r="F59" s="20">
        <v>4</v>
      </c>
    </row>
    <row r="60" spans="1:6">
      <c r="A60" s="149">
        <v>43586</v>
      </c>
      <c r="B60" s="92" t="s">
        <v>56</v>
      </c>
      <c r="C60" s="7" t="s">
        <v>132</v>
      </c>
      <c r="D60" s="8" t="s">
        <v>3</v>
      </c>
      <c r="E60" s="8" t="s">
        <v>30</v>
      </c>
      <c r="F60" s="20">
        <v>1.37</v>
      </c>
    </row>
    <row r="61" spans="1:6">
      <c r="A61" s="149">
        <v>43586</v>
      </c>
      <c r="B61" s="92" t="s">
        <v>56</v>
      </c>
      <c r="C61" s="7" t="s">
        <v>157</v>
      </c>
      <c r="D61" s="8" t="s">
        <v>3</v>
      </c>
      <c r="E61" s="8" t="s">
        <v>30</v>
      </c>
      <c r="F61" s="20">
        <f>78.78+0.09+0.06</f>
        <v>78.930000000000007</v>
      </c>
    </row>
    <row r="62" spans="1:6">
      <c r="A62" s="149">
        <v>43586</v>
      </c>
      <c r="B62" s="6" t="s">
        <v>56</v>
      </c>
      <c r="C62" s="9" t="s">
        <v>159</v>
      </c>
      <c r="D62" s="8" t="s">
        <v>3</v>
      </c>
      <c r="E62" s="8" t="s">
        <v>30</v>
      </c>
      <c r="F62" s="20">
        <v>5</v>
      </c>
    </row>
    <row r="63" spans="1:6">
      <c r="A63" s="149">
        <v>43587</v>
      </c>
      <c r="B63" s="92" t="s">
        <v>56</v>
      </c>
      <c r="C63" s="7" t="s">
        <v>116</v>
      </c>
      <c r="D63" s="8" t="s">
        <v>3</v>
      </c>
      <c r="E63" s="8" t="s">
        <v>30</v>
      </c>
      <c r="F63" s="20">
        <v>0.2</v>
      </c>
    </row>
    <row r="64" spans="1:6">
      <c r="A64" s="149">
        <v>43589</v>
      </c>
      <c r="B64" s="92" t="s">
        <v>111</v>
      </c>
      <c r="C64" s="7" t="s">
        <v>146</v>
      </c>
      <c r="D64" s="8" t="s">
        <v>97</v>
      </c>
      <c r="E64" s="8" t="s">
        <v>55</v>
      </c>
      <c r="F64" s="20">
        <v>8.8800000000000008</v>
      </c>
    </row>
    <row r="65" spans="1:6">
      <c r="A65" s="149">
        <v>43591</v>
      </c>
      <c r="B65" s="92" t="s">
        <v>56</v>
      </c>
      <c r="C65" s="7" t="s">
        <v>141</v>
      </c>
      <c r="D65" s="8" t="s">
        <v>97</v>
      </c>
      <c r="E65" s="8" t="s">
        <v>8</v>
      </c>
      <c r="F65" s="20">
        <v>3</v>
      </c>
    </row>
    <row r="66" spans="1:6">
      <c r="A66" s="149">
        <v>43592</v>
      </c>
      <c r="B66" s="92" t="s">
        <v>111</v>
      </c>
      <c r="C66" s="7" t="s">
        <v>113</v>
      </c>
      <c r="D66" s="8" t="s">
        <v>97</v>
      </c>
      <c r="E66" s="8" t="s">
        <v>7</v>
      </c>
      <c r="F66" s="20">
        <v>10.82</v>
      </c>
    </row>
    <row r="67" spans="1:6">
      <c r="A67" s="149">
        <v>43592</v>
      </c>
      <c r="B67" s="92" t="s">
        <v>111</v>
      </c>
      <c r="C67" s="7" t="s">
        <v>145</v>
      </c>
      <c r="D67" s="8" t="s">
        <v>97</v>
      </c>
      <c r="E67" s="8" t="s">
        <v>8</v>
      </c>
      <c r="F67" s="23">
        <v>1.19</v>
      </c>
    </row>
    <row r="68" spans="1:6">
      <c r="A68" s="149">
        <v>43592</v>
      </c>
      <c r="B68" s="92" t="s">
        <v>111</v>
      </c>
      <c r="C68" s="7" t="s">
        <v>147</v>
      </c>
      <c r="D68" s="8" t="s">
        <v>97</v>
      </c>
      <c r="E68" s="8" t="s">
        <v>8</v>
      </c>
      <c r="F68" s="20">
        <v>10</v>
      </c>
    </row>
    <row r="69" spans="1:6">
      <c r="A69" s="149">
        <v>43593</v>
      </c>
      <c r="B69" s="92" t="s">
        <v>111</v>
      </c>
      <c r="C69" s="7" t="s">
        <v>148</v>
      </c>
      <c r="D69" s="8" t="s">
        <v>97</v>
      </c>
      <c r="E69" s="8" t="s">
        <v>130</v>
      </c>
      <c r="F69" s="20">
        <v>5.21</v>
      </c>
    </row>
    <row r="70" spans="1:6">
      <c r="A70" s="149">
        <v>43593</v>
      </c>
      <c r="B70" s="92" t="s">
        <v>56</v>
      </c>
      <c r="C70" s="7" t="s">
        <v>149</v>
      </c>
      <c r="D70" s="8" t="s">
        <v>3</v>
      </c>
      <c r="E70" s="8" t="s">
        <v>54</v>
      </c>
      <c r="F70" s="20">
        <v>37.01</v>
      </c>
    </row>
    <row r="71" spans="1:6">
      <c r="A71" s="149">
        <v>43595</v>
      </c>
      <c r="B71" s="6" t="s">
        <v>111</v>
      </c>
      <c r="C71" s="9" t="s">
        <v>113</v>
      </c>
      <c r="D71" s="8" t="s">
        <v>97</v>
      </c>
      <c r="E71" s="8" t="s">
        <v>7</v>
      </c>
      <c r="F71" s="21">
        <v>23.72</v>
      </c>
    </row>
    <row r="72" spans="1:6">
      <c r="A72" s="149">
        <v>43596</v>
      </c>
      <c r="B72" s="6" t="s">
        <v>111</v>
      </c>
      <c r="C72" s="9" t="s">
        <v>150</v>
      </c>
      <c r="D72" s="8" t="s">
        <v>97</v>
      </c>
      <c r="E72" s="8" t="s">
        <v>94</v>
      </c>
      <c r="F72" s="20">
        <v>115</v>
      </c>
    </row>
    <row r="73" spans="1:6">
      <c r="A73" s="149">
        <v>43597</v>
      </c>
      <c r="B73" s="6" t="s">
        <v>111</v>
      </c>
      <c r="C73" s="9" t="s">
        <v>151</v>
      </c>
      <c r="D73" s="8" t="s">
        <v>97</v>
      </c>
      <c r="E73" s="8" t="s">
        <v>8</v>
      </c>
      <c r="F73" s="21">
        <v>29.19</v>
      </c>
    </row>
    <row r="74" spans="1:6">
      <c r="A74" s="149">
        <v>43597</v>
      </c>
      <c r="B74" s="6" t="s">
        <v>111</v>
      </c>
      <c r="C74" s="9" t="s">
        <v>152</v>
      </c>
      <c r="D74" s="8" t="s">
        <v>97</v>
      </c>
      <c r="E74" s="8" t="s">
        <v>94</v>
      </c>
      <c r="F74" s="21">
        <v>8.9600000000000009</v>
      </c>
    </row>
    <row r="75" spans="1:6">
      <c r="A75" s="149">
        <v>43598</v>
      </c>
      <c r="B75" s="6" t="s">
        <v>56</v>
      </c>
      <c r="C75" s="9" t="s">
        <v>141</v>
      </c>
      <c r="D75" s="8" t="s">
        <v>97</v>
      </c>
      <c r="E75" s="8" t="s">
        <v>8</v>
      </c>
      <c r="F75" s="23">
        <v>9</v>
      </c>
    </row>
    <row r="76" spans="1:6">
      <c r="A76" s="149">
        <v>43607</v>
      </c>
      <c r="B76" s="6" t="s">
        <v>111</v>
      </c>
      <c r="C76" s="9" t="s">
        <v>153</v>
      </c>
      <c r="D76" s="8" t="s">
        <v>97</v>
      </c>
      <c r="E76" s="8" t="s">
        <v>8</v>
      </c>
      <c r="F76" s="20">
        <v>196.05</v>
      </c>
    </row>
    <row r="77" spans="1:6">
      <c r="A77" s="149">
        <v>43609</v>
      </c>
      <c r="B77" s="6" t="s">
        <v>56</v>
      </c>
      <c r="C77" s="9" t="s">
        <v>140</v>
      </c>
      <c r="D77" s="8" t="s">
        <v>3</v>
      </c>
      <c r="E77" s="8" t="s">
        <v>30</v>
      </c>
      <c r="F77" s="20">
        <v>4</v>
      </c>
    </row>
    <row r="78" spans="1:6">
      <c r="A78" s="149">
        <v>43617</v>
      </c>
      <c r="B78" s="6" t="s">
        <v>56</v>
      </c>
      <c r="C78" s="9" t="s">
        <v>132</v>
      </c>
      <c r="D78" s="8" t="s">
        <v>3</v>
      </c>
      <c r="E78" s="8" t="s">
        <v>30</v>
      </c>
      <c r="F78" s="20">
        <v>1.69</v>
      </c>
    </row>
    <row r="79" spans="1:6">
      <c r="A79" s="149">
        <v>43619</v>
      </c>
      <c r="B79" s="6" t="s">
        <v>56</v>
      </c>
      <c r="C79" s="9" t="s">
        <v>141</v>
      </c>
      <c r="D79" s="8" t="s">
        <v>97</v>
      </c>
      <c r="E79" s="8" t="s">
        <v>8</v>
      </c>
      <c r="F79" s="20">
        <v>91.69</v>
      </c>
    </row>
    <row r="80" spans="1:6">
      <c r="A80" s="149">
        <v>43620</v>
      </c>
      <c r="B80" s="6" t="s">
        <v>111</v>
      </c>
      <c r="C80" s="9" t="s">
        <v>146</v>
      </c>
      <c r="D80" s="8" t="s">
        <v>97</v>
      </c>
      <c r="E80" s="8" t="s">
        <v>55</v>
      </c>
      <c r="F80" s="20">
        <v>9.08</v>
      </c>
    </row>
    <row r="81" spans="1:6">
      <c r="A81" s="149">
        <v>43625</v>
      </c>
      <c r="B81" s="6" t="s">
        <v>111</v>
      </c>
      <c r="C81" s="9" t="s">
        <v>153</v>
      </c>
      <c r="D81" s="8" t="s">
        <v>97</v>
      </c>
      <c r="E81" s="8" t="s">
        <v>8</v>
      </c>
      <c r="F81" s="20">
        <v>198.03</v>
      </c>
    </row>
    <row r="82" spans="1:6">
      <c r="A82" s="149">
        <v>43627</v>
      </c>
      <c r="B82" s="6" t="s">
        <v>111</v>
      </c>
      <c r="C82" s="9" t="s">
        <v>151</v>
      </c>
      <c r="D82" s="8" t="s">
        <v>97</v>
      </c>
      <c r="E82" s="8" t="s">
        <v>8</v>
      </c>
      <c r="F82" s="20">
        <v>36.880000000000003</v>
      </c>
    </row>
    <row r="83" spans="1:6">
      <c r="A83" s="149">
        <v>43637</v>
      </c>
      <c r="B83" s="6" t="s">
        <v>111</v>
      </c>
      <c r="C83" s="9" t="s">
        <v>154</v>
      </c>
      <c r="D83" s="8" t="s">
        <v>97</v>
      </c>
      <c r="E83" s="8" t="s">
        <v>95</v>
      </c>
      <c r="F83" s="20">
        <v>83</v>
      </c>
    </row>
    <row r="84" spans="1:6">
      <c r="A84" s="149">
        <v>43640</v>
      </c>
      <c r="B84" s="6" t="s">
        <v>111</v>
      </c>
      <c r="C84" s="9" t="s">
        <v>153</v>
      </c>
      <c r="D84" s="8" t="s">
        <v>97</v>
      </c>
      <c r="E84" s="8" t="s">
        <v>8</v>
      </c>
      <c r="F84" s="20">
        <v>199.8</v>
      </c>
    </row>
    <row r="85" spans="1:6">
      <c r="A85" s="149">
        <v>43641</v>
      </c>
      <c r="B85" s="6" t="s">
        <v>56</v>
      </c>
      <c r="C85" s="9" t="s">
        <v>140</v>
      </c>
      <c r="D85" s="8" t="s">
        <v>3</v>
      </c>
      <c r="E85" s="8" t="s">
        <v>30</v>
      </c>
      <c r="F85" s="20">
        <v>4</v>
      </c>
    </row>
    <row r="86" spans="1:6">
      <c r="A86" s="149">
        <v>43644</v>
      </c>
      <c r="B86" s="6" t="s">
        <v>56</v>
      </c>
      <c r="C86" s="9" t="s">
        <v>122</v>
      </c>
      <c r="D86" s="8" t="s">
        <v>3</v>
      </c>
      <c r="E86" s="8" t="s">
        <v>30</v>
      </c>
      <c r="F86" s="20">
        <v>0.01</v>
      </c>
    </row>
    <row r="87" spans="1:6">
      <c r="A87" s="149">
        <v>43646</v>
      </c>
      <c r="B87" s="6" t="s">
        <v>111</v>
      </c>
      <c r="C87" s="9" t="s">
        <v>96</v>
      </c>
      <c r="D87" s="8" t="s">
        <v>97</v>
      </c>
      <c r="E87" s="8" t="s">
        <v>55</v>
      </c>
      <c r="F87" s="20">
        <v>4</v>
      </c>
    </row>
    <row r="88" spans="1:6">
      <c r="A88" s="149">
        <v>43647</v>
      </c>
      <c r="B88" s="6" t="s">
        <v>56</v>
      </c>
      <c r="C88" s="9" t="s">
        <v>138</v>
      </c>
      <c r="D88" s="8" t="s">
        <v>3</v>
      </c>
      <c r="E88" s="8" t="s">
        <v>30</v>
      </c>
      <c r="F88" s="20">
        <v>500</v>
      </c>
    </row>
    <row r="89" spans="1:6">
      <c r="A89" s="149">
        <v>43647</v>
      </c>
      <c r="B89" s="6" t="s">
        <v>56</v>
      </c>
      <c r="C89" s="9" t="s">
        <v>155</v>
      </c>
      <c r="D89" s="8" t="s">
        <v>3</v>
      </c>
      <c r="E89" s="8" t="s">
        <v>30</v>
      </c>
      <c r="F89" s="20">
        <v>0.35</v>
      </c>
    </row>
    <row r="90" spans="1:6">
      <c r="A90" s="149">
        <v>43649</v>
      </c>
      <c r="B90" s="6" t="s">
        <v>111</v>
      </c>
      <c r="C90" s="9" t="s">
        <v>156</v>
      </c>
      <c r="D90" s="8" t="s">
        <v>97</v>
      </c>
      <c r="E90" s="8" t="s">
        <v>8</v>
      </c>
      <c r="F90" s="20">
        <v>102.93</v>
      </c>
    </row>
    <row r="91" spans="1:6">
      <c r="A91" s="149">
        <v>43652</v>
      </c>
      <c r="B91" s="6" t="s">
        <v>111</v>
      </c>
      <c r="C91" s="9" t="s">
        <v>140</v>
      </c>
      <c r="D91" s="8" t="s">
        <v>3</v>
      </c>
      <c r="E91" s="8" t="s">
        <v>30</v>
      </c>
      <c r="F91" s="20">
        <v>4</v>
      </c>
    </row>
    <row r="92" spans="1:6">
      <c r="A92" s="149">
        <v>43652</v>
      </c>
      <c r="B92" s="6" t="s">
        <v>111</v>
      </c>
      <c r="C92" s="9" t="s">
        <v>153</v>
      </c>
      <c r="D92" s="8" t="s">
        <v>97</v>
      </c>
      <c r="E92" s="8" t="s">
        <v>8</v>
      </c>
      <c r="F92" s="20">
        <v>102.58</v>
      </c>
    </row>
    <row r="93" spans="1:6">
      <c r="A93" s="149">
        <v>43656</v>
      </c>
      <c r="B93" s="6" t="s">
        <v>56</v>
      </c>
      <c r="C93" s="9" t="s">
        <v>140</v>
      </c>
      <c r="D93" s="8" t="s">
        <v>3</v>
      </c>
      <c r="E93" s="8" t="s">
        <v>30</v>
      </c>
      <c r="F93" s="20">
        <v>4</v>
      </c>
    </row>
    <row r="94" spans="1:6">
      <c r="A94" s="149">
        <v>43675</v>
      </c>
      <c r="B94" s="6" t="s">
        <v>111</v>
      </c>
      <c r="C94" s="9" t="s">
        <v>164</v>
      </c>
      <c r="D94" s="8" t="s">
        <v>97</v>
      </c>
      <c r="E94" s="8" t="s">
        <v>94</v>
      </c>
      <c r="F94" s="20">
        <v>168.62</v>
      </c>
    </row>
    <row r="95" spans="1:6">
      <c r="A95" s="149">
        <v>43676</v>
      </c>
      <c r="B95" s="6" t="s">
        <v>111</v>
      </c>
      <c r="C95" s="9" t="s">
        <v>96</v>
      </c>
      <c r="D95" s="8" t="s">
        <v>97</v>
      </c>
      <c r="E95" s="8" t="s">
        <v>55</v>
      </c>
      <c r="F95" s="20">
        <v>4</v>
      </c>
    </row>
    <row r="96" spans="1:6">
      <c r="A96" s="149"/>
      <c r="B96" s="6"/>
      <c r="C96" s="9"/>
      <c r="D96" s="8"/>
      <c r="E96" s="8"/>
      <c r="F96" s="23"/>
    </row>
    <row r="97" spans="1:6">
      <c r="A97" s="149"/>
      <c r="B97" s="6"/>
      <c r="C97" s="9"/>
      <c r="D97" s="8"/>
      <c r="E97" s="8"/>
      <c r="F97" s="23"/>
    </row>
    <row r="98" spans="1:6">
      <c r="A98" s="149"/>
      <c r="B98" s="6"/>
      <c r="C98" s="9"/>
      <c r="D98" s="8"/>
      <c r="E98" s="8"/>
      <c r="F98" s="20"/>
    </row>
    <row r="99" spans="1:6">
      <c r="A99" s="149"/>
      <c r="B99" s="6"/>
      <c r="C99" s="9"/>
      <c r="D99" s="8"/>
      <c r="E99" s="8"/>
      <c r="F99" s="20"/>
    </row>
    <row r="100" spans="1:6">
      <c r="A100" s="149"/>
      <c r="B100" s="6"/>
      <c r="C100" s="9"/>
      <c r="D100" s="8"/>
      <c r="E100" s="8"/>
      <c r="F100" s="20"/>
    </row>
    <row r="101" spans="1:6">
      <c r="A101" s="149"/>
      <c r="B101" s="6"/>
      <c r="C101" s="9"/>
      <c r="D101" s="8"/>
      <c r="E101" s="8"/>
      <c r="F101" s="20"/>
    </row>
    <row r="102" spans="1:6">
      <c r="A102" s="149"/>
      <c r="B102" s="6"/>
      <c r="C102" s="9"/>
      <c r="D102" s="8"/>
      <c r="E102" s="8"/>
      <c r="F102" s="20"/>
    </row>
    <row r="103" spans="1:6">
      <c r="A103" s="149"/>
      <c r="B103" s="6"/>
      <c r="C103" s="9"/>
      <c r="D103" s="8"/>
      <c r="E103" s="8"/>
      <c r="F103" s="20"/>
    </row>
    <row r="104" spans="1:6">
      <c r="A104" s="149"/>
      <c r="B104" s="6"/>
      <c r="C104" s="9"/>
      <c r="D104" s="8"/>
      <c r="E104" s="8"/>
      <c r="F104" s="20"/>
    </row>
    <row r="105" spans="1:6">
      <c r="A105" s="149"/>
      <c r="B105" s="6"/>
      <c r="C105" s="9"/>
      <c r="D105" s="8"/>
      <c r="E105" s="8"/>
      <c r="F105" s="23"/>
    </row>
    <row r="106" spans="1:6">
      <c r="A106" s="149"/>
      <c r="B106" s="6"/>
      <c r="C106" s="9"/>
      <c r="D106" s="8"/>
      <c r="E106" s="8"/>
      <c r="F106" s="20"/>
    </row>
    <row r="107" spans="1:6">
      <c r="A107" s="149"/>
      <c r="B107" s="6"/>
      <c r="C107" s="9"/>
      <c r="D107" s="8"/>
      <c r="E107" s="8"/>
      <c r="F107" s="20"/>
    </row>
    <row r="108" spans="1:6">
      <c r="A108" s="149"/>
      <c r="B108" s="6"/>
      <c r="C108" s="9"/>
      <c r="D108" s="8"/>
      <c r="E108" s="8"/>
      <c r="F108" s="23"/>
    </row>
    <row r="109" spans="1:6">
      <c r="A109" s="149"/>
      <c r="B109" s="6"/>
      <c r="C109" s="9"/>
      <c r="D109" s="8"/>
      <c r="E109" s="8"/>
      <c r="F109" s="23"/>
    </row>
    <row r="110" spans="1:6">
      <c r="A110" s="149"/>
      <c r="B110" s="6"/>
      <c r="C110" s="9"/>
      <c r="D110" s="8"/>
      <c r="E110" s="8"/>
      <c r="F110" s="20"/>
    </row>
    <row r="111" spans="1:6">
      <c r="A111" s="149"/>
      <c r="B111" s="6"/>
      <c r="C111" s="9"/>
      <c r="D111" s="8"/>
      <c r="E111" s="8"/>
      <c r="F111" s="23"/>
    </row>
    <row r="112" spans="1:6">
      <c r="A112" s="149"/>
      <c r="B112" s="6"/>
      <c r="C112" s="9"/>
      <c r="D112" s="8"/>
      <c r="E112" s="8"/>
      <c r="F112" s="20"/>
    </row>
    <row r="113" spans="1:8">
      <c r="A113" s="149"/>
      <c r="B113" s="6"/>
      <c r="C113" s="9"/>
      <c r="D113" s="8"/>
      <c r="E113" s="8"/>
      <c r="F113" s="20"/>
    </row>
    <row r="114" spans="1:8">
      <c r="A114" s="149"/>
      <c r="B114" s="6"/>
      <c r="C114" s="9"/>
      <c r="D114" s="8"/>
      <c r="E114" s="8"/>
      <c r="F114" s="20"/>
    </row>
    <row r="115" spans="1:8">
      <c r="A115" s="149"/>
      <c r="B115" s="6"/>
      <c r="C115" s="9"/>
      <c r="D115" s="8"/>
      <c r="E115" s="8"/>
      <c r="F115" s="23"/>
    </row>
    <row r="116" spans="1:8">
      <c r="A116" s="149"/>
      <c r="B116" s="6"/>
      <c r="C116" s="9"/>
      <c r="D116" s="8"/>
      <c r="E116" s="8"/>
      <c r="F116" s="20"/>
    </row>
    <row r="117" spans="1:8">
      <c r="A117" s="149"/>
      <c r="B117" s="6"/>
      <c r="C117" s="9"/>
      <c r="D117" s="8"/>
      <c r="E117" s="8"/>
      <c r="F117" s="20"/>
    </row>
    <row r="118" spans="1:8">
      <c r="A118" s="149"/>
      <c r="B118" s="6"/>
      <c r="C118" s="9"/>
      <c r="D118" s="8"/>
      <c r="E118" s="8"/>
      <c r="F118" s="20"/>
    </row>
    <row r="119" spans="1:8">
      <c r="A119" s="149"/>
      <c r="B119" s="6"/>
      <c r="C119" s="9"/>
      <c r="D119" s="8"/>
      <c r="E119" s="8"/>
      <c r="F119" s="20"/>
    </row>
    <row r="120" spans="1:8">
      <c r="A120" s="149"/>
      <c r="B120" s="6"/>
      <c r="C120" s="9"/>
      <c r="D120" s="8"/>
      <c r="E120" s="8"/>
      <c r="F120" s="20"/>
    </row>
    <row r="121" spans="1:8">
      <c r="A121" s="149"/>
      <c r="B121" s="6"/>
      <c r="C121" s="9"/>
      <c r="D121" s="8"/>
      <c r="E121" s="8"/>
      <c r="F121" s="20"/>
    </row>
    <row r="122" spans="1:8" ht="15.75">
      <c r="A122" s="149"/>
      <c r="B122" s="6"/>
      <c r="C122" s="9"/>
      <c r="D122" s="8"/>
      <c r="E122" s="8"/>
      <c r="F122" s="20"/>
      <c r="H122" s="96"/>
    </row>
    <row r="123" spans="1:8">
      <c r="A123" s="149"/>
      <c r="B123" s="6"/>
      <c r="C123" s="9"/>
      <c r="D123" s="8"/>
      <c r="E123" s="8"/>
      <c r="F123" s="20"/>
    </row>
    <row r="124" spans="1:8">
      <c r="A124" s="149"/>
      <c r="B124" s="6"/>
      <c r="C124" s="9"/>
      <c r="D124" s="8"/>
      <c r="E124" s="8"/>
      <c r="F124" s="20"/>
    </row>
    <row r="125" spans="1:8">
      <c r="A125" s="149"/>
      <c r="B125" s="6"/>
      <c r="C125" s="9"/>
      <c r="D125" s="8"/>
      <c r="E125" s="8"/>
      <c r="F125" s="23"/>
    </row>
    <row r="126" spans="1:8">
      <c r="A126" s="149"/>
      <c r="B126" s="6"/>
      <c r="C126" s="9"/>
      <c r="D126" s="8"/>
      <c r="E126" s="8"/>
      <c r="F126" s="23"/>
    </row>
    <row r="127" spans="1:8">
      <c r="A127" s="149"/>
      <c r="B127" s="6"/>
      <c r="C127" s="9"/>
      <c r="D127" s="8"/>
      <c r="E127" s="8"/>
      <c r="F127" s="20"/>
    </row>
    <row r="128" spans="1:8">
      <c r="A128" s="149"/>
      <c r="B128" s="6"/>
      <c r="C128" s="9"/>
      <c r="D128" s="8"/>
      <c r="E128" s="8"/>
      <c r="F128" s="20"/>
    </row>
    <row r="129" spans="1:6">
      <c r="A129" s="149"/>
      <c r="B129" s="6"/>
      <c r="C129" s="9"/>
      <c r="D129" s="8"/>
      <c r="E129" s="8"/>
      <c r="F129" s="20"/>
    </row>
    <row r="130" spans="1:6">
      <c r="A130" s="149"/>
      <c r="B130" s="6"/>
      <c r="C130" s="9"/>
      <c r="D130" s="8"/>
      <c r="E130" s="8"/>
      <c r="F130" s="20"/>
    </row>
    <row r="131" spans="1:6">
      <c r="A131" s="149"/>
      <c r="B131" s="6"/>
      <c r="C131" s="9"/>
      <c r="D131" s="8"/>
      <c r="E131" s="8"/>
      <c r="F131" s="20"/>
    </row>
    <row r="132" spans="1:6">
      <c r="A132" s="149"/>
      <c r="B132" s="6"/>
      <c r="C132" s="9"/>
      <c r="D132" s="8"/>
      <c r="E132" s="8"/>
      <c r="F132" s="20"/>
    </row>
    <row r="133" spans="1:6">
      <c r="A133" s="149"/>
      <c r="B133" s="6"/>
      <c r="C133" s="9"/>
      <c r="D133" s="8"/>
      <c r="E133" s="8"/>
      <c r="F133" s="20"/>
    </row>
    <row r="134" spans="1:6">
      <c r="A134" s="149"/>
      <c r="B134" s="6"/>
      <c r="C134" s="9"/>
      <c r="D134" s="8"/>
      <c r="E134" s="8"/>
      <c r="F134" s="20"/>
    </row>
    <row r="135" spans="1:6">
      <c r="A135" s="149"/>
      <c r="B135" s="6"/>
      <c r="C135" s="9"/>
      <c r="D135" s="8"/>
      <c r="E135" s="8"/>
      <c r="F135" s="20"/>
    </row>
    <row r="136" spans="1:6">
      <c r="A136" s="149"/>
      <c r="B136" s="6"/>
      <c r="C136" s="9"/>
      <c r="D136" s="8"/>
      <c r="E136" s="8"/>
      <c r="F136" s="20"/>
    </row>
    <row r="137" spans="1:6">
      <c r="A137" s="149"/>
      <c r="B137" s="6"/>
      <c r="C137" s="9"/>
      <c r="D137" s="8"/>
      <c r="E137" s="8"/>
      <c r="F137" s="20"/>
    </row>
    <row r="138" spans="1:6">
      <c r="A138" s="149"/>
      <c r="B138" s="6"/>
      <c r="C138" s="9"/>
      <c r="D138" s="8"/>
      <c r="E138" s="8"/>
      <c r="F138" s="20"/>
    </row>
    <row r="139" spans="1:6">
      <c r="A139" s="149"/>
      <c r="B139" s="6"/>
      <c r="C139" s="9"/>
      <c r="D139" s="8"/>
      <c r="E139" s="8"/>
      <c r="F139" s="20"/>
    </row>
    <row r="140" spans="1:6">
      <c r="A140" s="149"/>
      <c r="B140" s="6"/>
      <c r="C140" s="9"/>
      <c r="D140" s="8"/>
      <c r="E140" s="8"/>
      <c r="F140" s="20"/>
    </row>
    <row r="141" spans="1:6">
      <c r="A141" s="149"/>
      <c r="B141" s="6"/>
      <c r="C141" s="9"/>
      <c r="D141" s="8"/>
      <c r="E141" s="8"/>
      <c r="F141" s="23"/>
    </row>
    <row r="142" spans="1:6">
      <c r="A142" s="149"/>
      <c r="B142" s="6"/>
      <c r="C142" s="9"/>
      <c r="D142" s="8"/>
      <c r="E142" s="8"/>
      <c r="F142" s="23"/>
    </row>
    <row r="143" spans="1:6">
      <c r="A143" s="149"/>
      <c r="B143" s="6"/>
      <c r="C143" s="9"/>
      <c r="D143" s="8"/>
      <c r="E143" s="8"/>
      <c r="F143" s="20"/>
    </row>
    <row r="144" spans="1:6">
      <c r="A144" s="149"/>
      <c r="B144" s="6"/>
      <c r="C144" s="9"/>
      <c r="D144" s="8"/>
      <c r="E144" s="8"/>
      <c r="F144" s="20"/>
    </row>
    <row r="145" spans="1:6">
      <c r="A145" s="149"/>
      <c r="B145" s="6"/>
      <c r="C145" s="9"/>
      <c r="D145" s="8"/>
      <c r="E145" s="8"/>
      <c r="F145" s="20"/>
    </row>
    <row r="146" spans="1:6">
      <c r="A146" s="150"/>
      <c r="B146" s="25"/>
      <c r="C146" s="26"/>
      <c r="D146" s="24"/>
      <c r="E146" s="24"/>
      <c r="F146" s="27"/>
    </row>
    <row r="147" spans="1:6">
      <c r="A147" s="151"/>
      <c r="B147" s="28"/>
      <c r="C147" s="29"/>
      <c r="D147" s="30"/>
      <c r="E147" s="30"/>
      <c r="F147" s="31"/>
    </row>
    <row r="148" spans="1:6">
      <c r="A148" s="151"/>
      <c r="B148" s="28"/>
      <c r="C148" s="29"/>
      <c r="D148" s="30"/>
      <c r="E148" s="30"/>
      <c r="F148" s="31"/>
    </row>
    <row r="149" spans="1:6">
      <c r="A149" s="151"/>
      <c r="B149" s="28"/>
      <c r="C149" s="29"/>
      <c r="D149" s="30"/>
      <c r="E149" s="30"/>
      <c r="F149" s="31"/>
    </row>
    <row r="150" spans="1:6">
      <c r="A150" s="151"/>
      <c r="B150" s="28"/>
      <c r="C150" s="29"/>
      <c r="D150" s="30"/>
      <c r="E150" s="30"/>
      <c r="F150" s="31"/>
    </row>
    <row r="151" spans="1:6">
      <c r="A151" s="151"/>
      <c r="B151" s="28"/>
      <c r="C151" s="29"/>
      <c r="D151" s="30"/>
      <c r="E151" s="30"/>
      <c r="F151" s="31"/>
    </row>
    <row r="152" spans="1:6">
      <c r="A152" s="151"/>
      <c r="B152" s="28"/>
      <c r="C152" s="29"/>
      <c r="D152" s="30"/>
      <c r="E152" s="30"/>
      <c r="F152" s="31"/>
    </row>
    <row r="153" spans="1:6">
      <c r="A153" s="151"/>
      <c r="B153" s="28"/>
      <c r="C153" s="29"/>
      <c r="D153" s="30"/>
      <c r="E153" s="30"/>
      <c r="F153" s="31"/>
    </row>
    <row r="154" spans="1:6">
      <c r="A154" s="149"/>
      <c r="B154" s="6"/>
      <c r="C154" s="9"/>
      <c r="D154" s="8"/>
      <c r="E154" s="8"/>
      <c r="F154" s="23"/>
    </row>
    <row r="155" spans="1:6">
      <c r="A155" s="149"/>
      <c r="B155" s="6"/>
      <c r="C155" s="9"/>
      <c r="D155" s="8"/>
      <c r="E155" s="8"/>
      <c r="F155" s="23"/>
    </row>
    <row r="156" spans="1:6">
      <c r="A156" s="149"/>
      <c r="B156" s="6"/>
      <c r="C156" s="9"/>
      <c r="D156" s="8"/>
      <c r="E156" s="8"/>
      <c r="F156" s="23"/>
    </row>
    <row r="157" spans="1:6">
      <c r="A157" s="149"/>
      <c r="B157" s="6"/>
      <c r="C157" s="9"/>
      <c r="D157" s="8"/>
      <c r="E157" s="8"/>
      <c r="F157" s="23"/>
    </row>
    <row r="158" spans="1:6">
      <c r="A158" s="149"/>
      <c r="B158" s="6"/>
      <c r="C158" s="9"/>
      <c r="D158" s="8"/>
      <c r="E158" s="8"/>
      <c r="F158" s="23"/>
    </row>
    <row r="159" spans="1:6">
      <c r="A159" s="149"/>
      <c r="B159" s="6"/>
      <c r="C159" s="9"/>
      <c r="D159" s="8"/>
      <c r="E159" s="8"/>
      <c r="F159" s="23"/>
    </row>
    <row r="160" spans="1:6">
      <c r="A160" s="149"/>
      <c r="B160" s="6"/>
      <c r="C160" s="9"/>
      <c r="D160" s="8"/>
      <c r="E160" s="8"/>
      <c r="F160" s="23"/>
    </row>
    <row r="161" spans="1:8">
      <c r="A161" s="149"/>
      <c r="B161" s="6"/>
      <c r="C161" s="9"/>
      <c r="D161" s="8"/>
      <c r="E161" s="8"/>
      <c r="F161" s="23"/>
    </row>
    <row r="162" spans="1:8">
      <c r="A162" s="149"/>
      <c r="B162" s="6"/>
      <c r="C162" s="9"/>
      <c r="D162" s="8"/>
      <c r="E162" s="8"/>
      <c r="F162" s="23"/>
      <c r="H162" s="95"/>
    </row>
    <row r="163" spans="1:8">
      <c r="A163" s="149"/>
      <c r="B163" s="6"/>
      <c r="C163" s="9"/>
      <c r="D163" s="8"/>
      <c r="E163" s="8"/>
      <c r="F163" s="23"/>
    </row>
    <row r="164" spans="1:8">
      <c r="A164" s="149"/>
      <c r="B164" s="6"/>
      <c r="C164" s="9"/>
      <c r="D164" s="8"/>
      <c r="E164" s="8"/>
      <c r="F164" s="23"/>
    </row>
    <row r="165" spans="1:8">
      <c r="A165" s="149"/>
      <c r="B165" s="6"/>
      <c r="C165" s="9"/>
      <c r="D165" s="8"/>
      <c r="E165" s="8"/>
      <c r="F165" s="23"/>
    </row>
    <row r="166" spans="1:8">
      <c r="A166" s="149"/>
      <c r="B166" s="6"/>
      <c r="C166" s="9"/>
      <c r="D166" s="8"/>
      <c r="E166" s="8"/>
      <c r="F166" s="23"/>
    </row>
    <row r="167" spans="1:8">
      <c r="A167" s="149"/>
      <c r="B167" s="6"/>
      <c r="C167" s="9"/>
      <c r="D167" s="8"/>
      <c r="E167" s="8"/>
      <c r="F167" s="23"/>
    </row>
    <row r="168" spans="1:8">
      <c r="A168" s="149"/>
      <c r="B168" s="6"/>
      <c r="C168" s="9"/>
      <c r="D168" s="8"/>
      <c r="E168" s="8"/>
      <c r="F168" s="23"/>
    </row>
    <row r="169" spans="1:8">
      <c r="A169" s="149"/>
      <c r="B169" s="6"/>
      <c r="C169" s="9"/>
      <c r="D169" s="8"/>
      <c r="E169" s="8"/>
      <c r="F169" s="23"/>
    </row>
    <row r="170" spans="1:8">
      <c r="A170" s="149"/>
      <c r="B170" s="6"/>
      <c r="C170" s="9"/>
      <c r="D170" s="8"/>
      <c r="E170" s="8"/>
      <c r="F170" s="23"/>
    </row>
    <row r="171" spans="1:8">
      <c r="A171" s="149"/>
      <c r="B171" s="6"/>
      <c r="C171" s="9"/>
      <c r="D171" s="8"/>
      <c r="E171" s="8"/>
      <c r="F171" s="23"/>
    </row>
    <row r="172" spans="1:8">
      <c r="A172" s="149"/>
      <c r="B172" s="6"/>
      <c r="C172" s="9"/>
      <c r="D172" s="8"/>
      <c r="E172" s="8"/>
      <c r="F172" s="23"/>
    </row>
    <row r="173" spans="1:8">
      <c r="A173" s="149"/>
      <c r="B173" s="6"/>
      <c r="C173" s="9"/>
      <c r="D173" s="8"/>
      <c r="E173" s="8"/>
      <c r="F173" s="23"/>
    </row>
    <row r="174" spans="1:8">
      <c r="A174" s="149"/>
      <c r="B174" s="6"/>
      <c r="C174" s="9"/>
      <c r="D174" s="8"/>
      <c r="E174" s="8"/>
      <c r="F174" s="23"/>
    </row>
    <row r="175" spans="1:8">
      <c r="A175" s="149"/>
      <c r="B175" s="6"/>
      <c r="C175" s="9"/>
      <c r="D175" s="8"/>
      <c r="E175" s="8"/>
      <c r="F175" s="23"/>
    </row>
    <row r="176" spans="1:8">
      <c r="A176" s="149"/>
      <c r="B176" s="6"/>
      <c r="C176" s="9"/>
      <c r="D176" s="8"/>
      <c r="E176" s="8"/>
      <c r="F176" s="23"/>
    </row>
    <row r="177" spans="1:6">
      <c r="A177" s="149"/>
      <c r="B177" s="6"/>
      <c r="C177" s="9"/>
      <c r="D177" s="8"/>
      <c r="E177" s="8"/>
      <c r="F177" s="23"/>
    </row>
    <row r="178" spans="1:6">
      <c r="A178" s="149"/>
      <c r="B178" s="6"/>
      <c r="C178" s="9"/>
      <c r="D178" s="8"/>
      <c r="E178" s="8"/>
      <c r="F178" s="23"/>
    </row>
    <row r="179" spans="1:6">
      <c r="A179" s="149"/>
      <c r="B179" s="6"/>
      <c r="C179" s="9"/>
      <c r="D179" s="8"/>
      <c r="E179" s="8"/>
      <c r="F179" s="23"/>
    </row>
    <row r="180" spans="1:6">
      <c r="A180" s="149"/>
      <c r="B180" s="6"/>
      <c r="C180" s="9"/>
      <c r="D180" s="8"/>
      <c r="E180" s="8"/>
      <c r="F180" s="23"/>
    </row>
    <row r="181" spans="1:6">
      <c r="A181" s="149"/>
      <c r="B181" s="6"/>
      <c r="C181" s="9"/>
      <c r="D181" s="8"/>
      <c r="E181" s="8"/>
      <c r="F181" s="23"/>
    </row>
    <row r="182" spans="1:6">
      <c r="A182" s="149"/>
      <c r="B182" s="6"/>
      <c r="C182" s="9"/>
      <c r="D182" s="8"/>
      <c r="E182" s="8"/>
      <c r="F182" s="23"/>
    </row>
    <row r="183" spans="1:6">
      <c r="A183" s="149"/>
      <c r="B183" s="6"/>
      <c r="C183" s="9"/>
      <c r="D183" s="8"/>
      <c r="E183" s="8"/>
      <c r="F183" s="23"/>
    </row>
    <row r="184" spans="1:6">
      <c r="A184" s="149"/>
      <c r="B184" s="6"/>
      <c r="C184" s="9"/>
      <c r="D184" s="8"/>
      <c r="E184" s="8"/>
      <c r="F184" s="23"/>
    </row>
    <row r="185" spans="1:6">
      <c r="A185" s="149"/>
      <c r="B185" s="6"/>
      <c r="C185" s="9"/>
      <c r="D185" s="8"/>
      <c r="E185" s="8"/>
      <c r="F185" s="23"/>
    </row>
    <row r="186" spans="1:6">
      <c r="A186" s="149"/>
      <c r="B186" s="6"/>
      <c r="C186" s="9"/>
      <c r="D186" s="8"/>
      <c r="E186" s="8"/>
      <c r="F186" s="23"/>
    </row>
    <row r="187" spans="1:6">
      <c r="A187" s="149"/>
      <c r="B187" s="6"/>
      <c r="C187" s="9"/>
      <c r="D187" s="8"/>
      <c r="E187" s="8"/>
      <c r="F187" s="23"/>
    </row>
    <row r="188" spans="1:6">
      <c r="A188" s="149"/>
      <c r="B188" s="6"/>
      <c r="C188" s="9"/>
      <c r="D188" s="8"/>
      <c r="E188" s="8"/>
      <c r="F188" s="23"/>
    </row>
    <row r="189" spans="1:6">
      <c r="A189" s="149"/>
      <c r="B189" s="6"/>
      <c r="C189" s="9"/>
      <c r="D189" s="8"/>
      <c r="E189" s="8"/>
      <c r="F189" s="23"/>
    </row>
    <row r="190" spans="1:6">
      <c r="A190" s="149"/>
      <c r="B190" s="6"/>
      <c r="C190" s="9"/>
      <c r="D190" s="8"/>
      <c r="E190" s="8"/>
      <c r="F190" s="23"/>
    </row>
    <row r="191" spans="1:6">
      <c r="A191" s="149"/>
      <c r="B191" s="6"/>
      <c r="C191" s="9"/>
      <c r="D191" s="8"/>
      <c r="E191" s="8"/>
      <c r="F191" s="23"/>
    </row>
    <row r="192" spans="1:6">
      <c r="A192" s="149"/>
      <c r="B192" s="6"/>
      <c r="C192" s="9"/>
      <c r="D192" s="8"/>
      <c r="E192" s="8"/>
      <c r="F192" s="23"/>
    </row>
    <row r="193" spans="1:6">
      <c r="A193" s="149"/>
      <c r="B193" s="6"/>
      <c r="C193" s="9"/>
      <c r="D193" s="8"/>
      <c r="E193" s="8"/>
      <c r="F193" s="23"/>
    </row>
    <row r="194" spans="1:6">
      <c r="A194" s="149"/>
      <c r="B194" s="6"/>
      <c r="C194" s="9"/>
      <c r="D194" s="8"/>
      <c r="E194" s="8"/>
      <c r="F194" s="23"/>
    </row>
    <row r="195" spans="1:6">
      <c r="A195" s="149"/>
      <c r="B195" s="6"/>
      <c r="C195" s="9"/>
      <c r="D195" s="8"/>
      <c r="E195" s="8"/>
      <c r="F195" s="23"/>
    </row>
    <row r="196" spans="1:6">
      <c r="A196" s="149"/>
      <c r="B196" s="6"/>
      <c r="C196" s="9"/>
      <c r="D196" s="8"/>
      <c r="E196" s="8"/>
      <c r="F196" s="23"/>
    </row>
    <row r="197" spans="1:6">
      <c r="A197" s="149"/>
      <c r="B197" s="6"/>
      <c r="C197" s="9"/>
      <c r="D197" s="8"/>
      <c r="E197" s="8"/>
      <c r="F197" s="23"/>
    </row>
    <row r="198" spans="1:6">
      <c r="A198" s="149"/>
      <c r="B198" s="6"/>
      <c r="C198" s="9"/>
      <c r="D198" s="8"/>
      <c r="E198" s="8"/>
      <c r="F198" s="23"/>
    </row>
    <row r="199" spans="1:6">
      <c r="A199" s="149"/>
      <c r="B199" s="6"/>
      <c r="C199" s="9"/>
      <c r="D199" s="8"/>
      <c r="E199" s="8"/>
      <c r="F199" s="23"/>
    </row>
    <row r="200" spans="1:6">
      <c r="A200" s="149"/>
      <c r="B200" s="6"/>
      <c r="C200" s="9"/>
      <c r="D200" s="8"/>
      <c r="E200" s="8"/>
      <c r="F200" s="23"/>
    </row>
    <row r="201" spans="1:6">
      <c r="A201" s="149"/>
      <c r="B201" s="6"/>
      <c r="C201" s="9"/>
      <c r="D201" s="8"/>
      <c r="E201" s="8"/>
      <c r="F201" s="23"/>
    </row>
    <row r="202" spans="1:6">
      <c r="A202" s="149"/>
      <c r="B202" s="6"/>
      <c r="C202" s="9"/>
      <c r="D202" s="8"/>
      <c r="E202" s="8"/>
      <c r="F202" s="23"/>
    </row>
    <row r="203" spans="1:6">
      <c r="A203" s="149"/>
      <c r="B203" s="6"/>
      <c r="C203" s="9"/>
      <c r="D203" s="8"/>
      <c r="E203" s="8"/>
      <c r="F203" s="23"/>
    </row>
    <row r="204" spans="1:6">
      <c r="A204" s="149"/>
      <c r="B204" s="6"/>
      <c r="C204" s="9"/>
      <c r="D204" s="8"/>
      <c r="E204" s="8"/>
      <c r="F204" s="23"/>
    </row>
    <row r="205" spans="1:6">
      <c r="A205" s="149"/>
      <c r="B205" s="6"/>
      <c r="C205" s="9"/>
      <c r="D205" s="8"/>
      <c r="E205" s="8"/>
      <c r="F205" s="23"/>
    </row>
    <row r="206" spans="1:6">
      <c r="A206" s="149"/>
      <c r="B206" s="6"/>
      <c r="C206" s="9"/>
      <c r="D206" s="8"/>
      <c r="E206" s="8"/>
      <c r="F206" s="23"/>
    </row>
    <row r="207" spans="1:6">
      <c r="A207" s="149"/>
      <c r="B207" s="6"/>
      <c r="C207" s="9"/>
      <c r="D207" s="8"/>
      <c r="E207" s="8"/>
      <c r="F207" s="23"/>
    </row>
    <row r="208" spans="1:6">
      <c r="A208" s="149"/>
      <c r="B208" s="6"/>
      <c r="C208" s="9"/>
      <c r="D208" s="8"/>
      <c r="E208" s="8"/>
      <c r="F208" s="23"/>
    </row>
    <row r="209" spans="1:6">
      <c r="A209" s="149"/>
      <c r="B209" s="6"/>
      <c r="C209" s="9"/>
      <c r="D209" s="8"/>
      <c r="E209" s="8"/>
      <c r="F209" s="23"/>
    </row>
    <row r="210" spans="1:6">
      <c r="A210" s="149"/>
      <c r="B210" s="6"/>
      <c r="C210" s="9"/>
      <c r="D210" s="8"/>
      <c r="E210" s="8"/>
      <c r="F210" s="23"/>
    </row>
    <row r="211" spans="1:6">
      <c r="A211" s="149"/>
      <c r="B211" s="6"/>
      <c r="C211" s="9"/>
      <c r="D211" s="8"/>
      <c r="E211" s="8"/>
      <c r="F211" s="23"/>
    </row>
    <row r="212" spans="1:6">
      <c r="A212" s="149"/>
      <c r="B212" s="6"/>
      <c r="C212" s="9"/>
      <c r="D212" s="8"/>
      <c r="E212" s="8"/>
      <c r="F212" s="23"/>
    </row>
    <row r="213" spans="1:6">
      <c r="A213" s="149"/>
      <c r="B213" s="6"/>
      <c r="C213" s="9"/>
      <c r="D213" s="8"/>
      <c r="E213" s="8"/>
      <c r="F213" s="23"/>
    </row>
    <row r="214" spans="1:6">
      <c r="A214" s="149"/>
      <c r="B214" s="6"/>
      <c r="C214" s="9"/>
      <c r="D214" s="8"/>
      <c r="E214" s="8"/>
      <c r="F214" s="23"/>
    </row>
    <row r="215" spans="1:6">
      <c r="A215" s="149"/>
      <c r="B215" s="6"/>
      <c r="C215" s="9"/>
      <c r="D215" s="8"/>
      <c r="E215" s="8"/>
      <c r="F215" s="23"/>
    </row>
    <row r="216" spans="1:6">
      <c r="A216" s="149"/>
      <c r="B216" s="6"/>
      <c r="C216" s="9"/>
      <c r="D216" s="8"/>
      <c r="E216" s="8"/>
      <c r="F216" s="23"/>
    </row>
    <row r="217" spans="1:6">
      <c r="A217" s="149"/>
      <c r="B217" s="6"/>
      <c r="C217" s="9"/>
      <c r="D217" s="8"/>
      <c r="E217" s="8"/>
      <c r="F217" s="23"/>
    </row>
    <row r="218" spans="1:6">
      <c r="A218" s="149"/>
      <c r="B218" s="6"/>
      <c r="C218" s="9"/>
      <c r="D218" s="8"/>
      <c r="E218" s="8"/>
      <c r="F218" s="23"/>
    </row>
    <row r="219" spans="1:6">
      <c r="A219" s="149"/>
      <c r="B219" s="6"/>
      <c r="C219" s="9"/>
      <c r="D219" s="8"/>
      <c r="E219" s="8"/>
      <c r="F219" s="23"/>
    </row>
    <row r="220" spans="1:6">
      <c r="A220" s="149"/>
      <c r="B220" s="6"/>
      <c r="C220" s="9"/>
      <c r="D220" s="8"/>
      <c r="E220" s="8"/>
      <c r="F220" s="23"/>
    </row>
    <row r="221" spans="1:6">
      <c r="A221" s="149"/>
      <c r="B221" s="6"/>
      <c r="C221" s="9"/>
      <c r="D221" s="8"/>
      <c r="E221" s="8"/>
      <c r="F221" s="23"/>
    </row>
    <row r="222" spans="1:6">
      <c r="A222" s="149"/>
      <c r="B222" s="6"/>
      <c r="C222" s="9"/>
      <c r="D222" s="8"/>
      <c r="E222" s="8"/>
      <c r="F222" s="23"/>
    </row>
    <row r="223" spans="1:6">
      <c r="A223" s="149"/>
      <c r="B223" s="6"/>
      <c r="C223" s="9"/>
      <c r="D223" s="8"/>
      <c r="E223" s="8"/>
      <c r="F223" s="23"/>
    </row>
    <row r="224" spans="1:6">
      <c r="A224" s="149"/>
      <c r="B224" s="6"/>
      <c r="C224" s="9"/>
      <c r="D224" s="8"/>
      <c r="E224" s="8"/>
      <c r="F224" s="23"/>
    </row>
    <row r="225" spans="1:6">
      <c r="A225" s="149"/>
      <c r="B225" s="6"/>
      <c r="C225" s="9"/>
      <c r="D225" s="8"/>
      <c r="E225" s="8"/>
      <c r="F225" s="23"/>
    </row>
    <row r="226" spans="1:6">
      <c r="A226" s="149"/>
      <c r="B226" s="6"/>
      <c r="C226" s="9"/>
      <c r="D226" s="8"/>
      <c r="E226" s="8"/>
      <c r="F226" s="23"/>
    </row>
    <row r="227" spans="1:6">
      <c r="A227" s="149"/>
      <c r="B227" s="6"/>
      <c r="C227" s="9"/>
      <c r="D227" s="8"/>
      <c r="E227" s="8"/>
      <c r="F227" s="23"/>
    </row>
    <row r="228" spans="1:6">
      <c r="A228" s="149"/>
      <c r="B228" s="6"/>
      <c r="C228" s="9"/>
      <c r="D228" s="8"/>
      <c r="E228" s="8"/>
      <c r="F228" s="23"/>
    </row>
    <row r="229" spans="1:6">
      <c r="A229" s="149"/>
      <c r="B229" s="6"/>
      <c r="C229" s="9"/>
      <c r="D229" s="8"/>
      <c r="E229" s="8"/>
      <c r="F229" s="23"/>
    </row>
    <row r="230" spans="1:6">
      <c r="A230" s="149"/>
      <c r="B230" s="6"/>
      <c r="C230" s="9"/>
      <c r="D230" s="8"/>
      <c r="E230" s="8"/>
      <c r="F230" s="23"/>
    </row>
    <row r="231" spans="1:6">
      <c r="A231" s="149"/>
      <c r="B231" s="6"/>
      <c r="C231" s="9"/>
      <c r="D231" s="8"/>
      <c r="E231" s="8"/>
      <c r="F231" s="23"/>
    </row>
    <row r="232" spans="1:6">
      <c r="A232" s="149"/>
      <c r="B232" s="6"/>
      <c r="C232" s="9"/>
      <c r="D232" s="8"/>
      <c r="E232" s="8"/>
      <c r="F232" s="23"/>
    </row>
    <row r="233" spans="1:6">
      <c r="A233" s="149"/>
      <c r="B233" s="6"/>
      <c r="C233" s="9"/>
      <c r="D233" s="8"/>
      <c r="E233" s="8"/>
      <c r="F233" s="23"/>
    </row>
    <row r="234" spans="1:6">
      <c r="A234" s="149"/>
      <c r="B234" s="6"/>
      <c r="C234" s="9"/>
      <c r="D234" s="8"/>
      <c r="E234" s="8"/>
      <c r="F234" s="23"/>
    </row>
    <row r="235" spans="1:6">
      <c r="A235" s="149"/>
      <c r="B235" s="6"/>
      <c r="C235" s="9"/>
      <c r="D235" s="8"/>
      <c r="E235" s="8"/>
      <c r="F235" s="23"/>
    </row>
    <row r="236" spans="1:6">
      <c r="A236" s="149"/>
      <c r="B236" s="6"/>
      <c r="C236" s="9"/>
      <c r="D236" s="8"/>
      <c r="E236" s="8"/>
      <c r="F236" s="23"/>
    </row>
    <row r="237" spans="1:6">
      <c r="A237" s="149"/>
      <c r="B237" s="6"/>
      <c r="C237" s="9"/>
      <c r="D237" s="8"/>
      <c r="E237" s="8"/>
      <c r="F237" s="23"/>
    </row>
    <row r="238" spans="1:6">
      <c r="A238" s="149"/>
      <c r="B238" s="6"/>
      <c r="C238" s="9"/>
      <c r="D238" s="8"/>
      <c r="E238" s="8"/>
      <c r="F238" s="23"/>
    </row>
    <row r="239" spans="1:6">
      <c r="A239" s="149"/>
      <c r="B239" s="6"/>
      <c r="C239" s="9"/>
      <c r="D239" s="8"/>
      <c r="E239" s="8"/>
      <c r="F239" s="23"/>
    </row>
    <row r="240" spans="1:6">
      <c r="A240" s="149"/>
      <c r="B240" s="6"/>
      <c r="C240" s="9"/>
      <c r="D240" s="8"/>
      <c r="E240" s="8"/>
      <c r="F240" s="23"/>
    </row>
    <row r="241" spans="1:6">
      <c r="A241" s="149"/>
      <c r="B241" s="6"/>
      <c r="C241" s="9"/>
      <c r="D241" s="8"/>
      <c r="E241" s="8"/>
      <c r="F241" s="23"/>
    </row>
    <row r="242" spans="1:6">
      <c r="A242" s="149"/>
      <c r="B242" s="6"/>
      <c r="C242" s="9"/>
      <c r="D242" s="8"/>
      <c r="E242" s="8"/>
      <c r="F242" s="23"/>
    </row>
    <row r="243" spans="1:6">
      <c r="A243" s="149"/>
      <c r="B243" s="6"/>
      <c r="C243" s="9"/>
      <c r="D243" s="8"/>
      <c r="E243" s="8"/>
      <c r="F243" s="23"/>
    </row>
    <row r="244" spans="1:6">
      <c r="A244" s="149"/>
      <c r="B244" s="6"/>
      <c r="C244" s="9"/>
      <c r="D244" s="8"/>
      <c r="E244" s="8"/>
      <c r="F244" s="23"/>
    </row>
    <row r="245" spans="1:6">
      <c r="A245" s="149"/>
      <c r="B245" s="6"/>
      <c r="C245" s="9"/>
      <c r="D245" s="8"/>
      <c r="E245" s="8"/>
      <c r="F245" s="23"/>
    </row>
    <row r="246" spans="1:6">
      <c r="A246" s="149"/>
      <c r="B246" s="6"/>
      <c r="C246" s="9"/>
      <c r="D246" s="8"/>
      <c r="E246" s="8"/>
      <c r="F246" s="23"/>
    </row>
    <row r="247" spans="1:6">
      <c r="A247" s="149"/>
      <c r="B247" s="6"/>
      <c r="C247" s="9"/>
      <c r="D247" s="8"/>
      <c r="E247" s="8"/>
      <c r="F247" s="23"/>
    </row>
    <row r="248" spans="1:6">
      <c r="A248" s="149"/>
      <c r="B248" s="6"/>
      <c r="C248" s="9"/>
      <c r="D248" s="8"/>
      <c r="E248" s="8"/>
      <c r="F248" s="23"/>
    </row>
    <row r="249" spans="1:6">
      <c r="A249" s="149"/>
      <c r="B249" s="6"/>
      <c r="C249" s="9"/>
      <c r="D249" s="8"/>
      <c r="E249" s="8"/>
      <c r="F249" s="23"/>
    </row>
    <row r="250" spans="1:6">
      <c r="A250" s="149"/>
      <c r="B250" s="6"/>
      <c r="C250" s="9"/>
      <c r="D250" s="8"/>
      <c r="E250" s="8"/>
      <c r="F250" s="23"/>
    </row>
    <row r="251" spans="1:6">
      <c r="A251" s="149"/>
      <c r="B251" s="6"/>
      <c r="C251" s="9"/>
      <c r="D251" s="8"/>
      <c r="E251" s="8"/>
      <c r="F251" s="23"/>
    </row>
    <row r="252" spans="1:6">
      <c r="A252" s="149"/>
      <c r="B252" s="6"/>
      <c r="C252" s="9"/>
      <c r="D252" s="8"/>
      <c r="E252" s="8"/>
      <c r="F252" s="23"/>
    </row>
    <row r="253" spans="1:6">
      <c r="A253" s="149"/>
      <c r="B253" s="6"/>
      <c r="C253" s="9"/>
      <c r="D253" s="8"/>
      <c r="E253" s="8"/>
      <c r="F253" s="23"/>
    </row>
    <row r="254" spans="1:6">
      <c r="A254" s="149"/>
      <c r="B254" s="6"/>
      <c r="C254" s="9"/>
      <c r="D254" s="8"/>
      <c r="E254" s="8"/>
      <c r="F254" s="23"/>
    </row>
    <row r="255" spans="1:6">
      <c r="A255" s="149"/>
      <c r="B255" s="6"/>
      <c r="C255" s="9"/>
      <c r="D255" s="8"/>
      <c r="E255" s="8"/>
      <c r="F255" s="23"/>
    </row>
    <row r="256" spans="1:6">
      <c r="A256" s="149"/>
      <c r="B256" s="6"/>
      <c r="C256" s="9"/>
      <c r="D256" s="8"/>
      <c r="E256" s="8"/>
      <c r="F256" s="23"/>
    </row>
    <row r="257" spans="1:6">
      <c r="A257" s="149"/>
      <c r="B257" s="6"/>
      <c r="C257" s="9"/>
      <c r="D257" s="8"/>
      <c r="E257" s="8"/>
      <c r="F257" s="23"/>
    </row>
    <row r="258" spans="1:6">
      <c r="A258" s="149"/>
      <c r="B258" s="6"/>
      <c r="C258" s="9"/>
      <c r="D258" s="8"/>
      <c r="E258" s="8"/>
      <c r="F258" s="23"/>
    </row>
    <row r="259" spans="1:6">
      <c r="A259" s="149"/>
      <c r="B259" s="6"/>
      <c r="C259" s="9"/>
      <c r="D259" s="8"/>
      <c r="E259" s="8"/>
      <c r="F259" s="23"/>
    </row>
    <row r="260" spans="1:6">
      <c r="A260" s="149"/>
      <c r="B260" s="6"/>
      <c r="C260" s="9"/>
      <c r="D260" s="8"/>
      <c r="E260" s="8"/>
      <c r="F260" s="23"/>
    </row>
    <row r="261" spans="1:6">
      <c r="A261" s="149"/>
      <c r="B261" s="6"/>
      <c r="C261" s="9"/>
      <c r="D261" s="8"/>
      <c r="E261" s="8"/>
      <c r="F261" s="23"/>
    </row>
    <row r="262" spans="1:6">
      <c r="A262" s="149"/>
      <c r="B262" s="6"/>
      <c r="C262" s="9"/>
      <c r="D262" s="8"/>
      <c r="E262" s="8"/>
      <c r="F262" s="23"/>
    </row>
    <row r="263" spans="1:6">
      <c r="A263" s="149"/>
      <c r="B263" s="6"/>
      <c r="C263" s="9"/>
      <c r="D263" s="8"/>
      <c r="E263" s="8"/>
      <c r="F263" s="23"/>
    </row>
    <row r="264" spans="1:6">
      <c r="A264" s="149"/>
      <c r="B264" s="6"/>
      <c r="C264" s="9"/>
      <c r="D264" s="8"/>
      <c r="E264" s="8"/>
      <c r="F264" s="23"/>
    </row>
    <row r="265" spans="1:6">
      <c r="A265" s="149"/>
      <c r="B265" s="6"/>
      <c r="C265" s="9"/>
      <c r="D265" s="8"/>
      <c r="E265" s="8"/>
      <c r="F265" s="23"/>
    </row>
    <row r="266" spans="1:6">
      <c r="A266" s="149"/>
      <c r="B266" s="6"/>
      <c r="C266" s="9"/>
      <c r="D266" s="8"/>
      <c r="E266" s="8"/>
      <c r="F266" s="23"/>
    </row>
    <row r="267" spans="1:6">
      <c r="A267" s="149"/>
      <c r="B267" s="6"/>
      <c r="C267" s="9"/>
      <c r="D267" s="8"/>
      <c r="E267" s="8"/>
      <c r="F267" s="23"/>
    </row>
    <row r="268" spans="1:6">
      <c r="A268" s="149"/>
      <c r="B268" s="6"/>
      <c r="C268" s="9"/>
      <c r="D268" s="8"/>
      <c r="E268" s="8"/>
      <c r="F268" s="23"/>
    </row>
    <row r="269" spans="1:6">
      <c r="A269" s="149"/>
      <c r="B269" s="6"/>
      <c r="C269" s="9"/>
      <c r="D269" s="8"/>
      <c r="E269" s="8"/>
      <c r="F269" s="23"/>
    </row>
    <row r="270" spans="1:6">
      <c r="A270" s="149"/>
      <c r="B270" s="6"/>
      <c r="C270" s="9"/>
      <c r="D270" s="8"/>
      <c r="E270" s="8"/>
      <c r="F270" s="23"/>
    </row>
    <row r="271" spans="1:6">
      <c r="A271" s="149"/>
      <c r="B271" s="6"/>
      <c r="C271" s="9"/>
      <c r="D271" s="8"/>
      <c r="E271" s="8"/>
      <c r="F271" s="23"/>
    </row>
    <row r="272" spans="1:6">
      <c r="A272" s="149"/>
      <c r="B272" s="6"/>
      <c r="C272" s="9"/>
      <c r="D272" s="8"/>
      <c r="E272" s="8"/>
      <c r="F272" s="23"/>
    </row>
    <row r="273" spans="1:6">
      <c r="A273" s="149"/>
      <c r="B273" s="6"/>
      <c r="C273" s="9"/>
      <c r="D273" s="8"/>
      <c r="E273" s="8"/>
      <c r="F273" s="23"/>
    </row>
    <row r="274" spans="1:6">
      <c r="A274" s="149"/>
      <c r="B274" s="6"/>
      <c r="C274" s="9"/>
      <c r="D274" s="8"/>
      <c r="E274" s="8"/>
      <c r="F274" s="23"/>
    </row>
    <row r="275" spans="1:6">
      <c r="A275" s="149"/>
      <c r="B275" s="6"/>
      <c r="C275" s="9"/>
      <c r="D275" s="8"/>
      <c r="E275" s="8"/>
      <c r="F275" s="23"/>
    </row>
    <row r="276" spans="1:6">
      <c r="A276" s="149"/>
      <c r="B276" s="6"/>
      <c r="C276" s="9"/>
      <c r="D276" s="8"/>
      <c r="E276" s="8"/>
      <c r="F276" s="23"/>
    </row>
    <row r="277" spans="1:6" s="34" customFormat="1" ht="15">
      <c r="A277" s="152" t="s">
        <v>11</v>
      </c>
      <c r="B277" s="32"/>
      <c r="C277" s="33"/>
      <c r="D277" s="32"/>
      <c r="E277" s="32"/>
      <c r="F277" s="122">
        <f>SUBTOTAL(109,Transactions[Amount])</f>
        <v>8627.6100000000151</v>
      </c>
    </row>
  </sheetData>
  <conditionalFormatting sqref="A2:F21 A23:F276">
    <cfRule type="expression" dxfId="21" priority="29" stopIfTrue="1">
      <formula>MOD(ROW(),2)=1</formula>
    </cfRule>
  </conditionalFormatting>
  <conditionalFormatting sqref="F277">
    <cfRule type="expression" dxfId="20" priority="2" stopIfTrue="1">
      <formula>MOD(ROW(),2)=1</formula>
    </cfRule>
  </conditionalFormatting>
  <conditionalFormatting sqref="A22:F22">
    <cfRule type="expression" dxfId="19" priority="1" stopIfTrue="1">
      <formula>MOD(ROW(),2)=1</formula>
    </cfRule>
  </conditionalFormatting>
  <pageMargins left="0.75" right="0.75" top="0.5" bottom="0.5" header="0.5" footer="0.5"/>
  <pageSetup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Data">
                <anchor moveWithCells="1" sizeWithCells="1">
                  <from>
                    <xdr:col>2</xdr:col>
                    <xdr:colOff>962025</xdr:colOff>
                    <xdr:row>0</xdr:row>
                    <xdr:rowOff>38100</xdr:rowOff>
                  </from>
                  <to>
                    <xdr:col>2</xdr:col>
                    <xdr:colOff>1733550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1B2A6-A434-4F30-871A-A0889A8D624A}">
  <sheetPr codeName="Sheet3">
    <pageSetUpPr fitToPage="1"/>
  </sheetPr>
  <dimension ref="A1:Q167"/>
  <sheetViews>
    <sheetView zoomScale="90" zoomScaleNormal="90" workbookViewId="0">
      <pane ySplit="4" topLeftCell="A37" activePane="bottomLeft" state="frozenSplit"/>
      <selection activeCell="J23" sqref="J23"/>
      <selection pane="bottomLeft" activeCell="D19" sqref="D19"/>
    </sheetView>
  </sheetViews>
  <sheetFormatPr defaultRowHeight="15"/>
  <cols>
    <col min="1" max="1" width="9.140625" style="19"/>
    <col min="2" max="2" width="22.140625" style="35" customWidth="1"/>
    <col min="3" max="14" width="11.7109375" style="45" customWidth="1"/>
    <col min="15" max="15" width="13.5703125" style="45" bestFit="1" customWidth="1"/>
    <col min="16" max="16" width="11.7109375" style="38" customWidth="1"/>
    <col min="17" max="17" width="10.85546875" style="45" bestFit="1" customWidth="1"/>
    <col min="18" max="16384" width="9.140625" style="45"/>
  </cols>
  <sheetData>
    <row r="1" spans="1:17" ht="18" customHeight="1">
      <c r="A1" s="159" t="s">
        <v>13</v>
      </c>
      <c r="B1" s="160"/>
    </row>
    <row r="2" spans="1:17">
      <c r="A2" s="159"/>
      <c r="B2" s="160"/>
    </row>
    <row r="3" spans="1:17">
      <c r="A3" s="159"/>
      <c r="B3" s="160"/>
      <c r="C3" s="10">
        <v>2019</v>
      </c>
      <c r="D3" s="10">
        <f t="shared" ref="D3:P3" si="0">+C3</f>
        <v>2019</v>
      </c>
      <c r="E3" s="10">
        <f t="shared" si="0"/>
        <v>2019</v>
      </c>
      <c r="F3" s="10">
        <f t="shared" si="0"/>
        <v>2019</v>
      </c>
      <c r="G3" s="10">
        <f t="shared" si="0"/>
        <v>2019</v>
      </c>
      <c r="H3" s="10">
        <f t="shared" si="0"/>
        <v>2019</v>
      </c>
      <c r="I3" s="10">
        <f t="shared" si="0"/>
        <v>2019</v>
      </c>
      <c r="J3" s="10">
        <f t="shared" si="0"/>
        <v>2019</v>
      </c>
      <c r="K3" s="10">
        <f t="shared" si="0"/>
        <v>2019</v>
      </c>
      <c r="L3" s="10">
        <f t="shared" si="0"/>
        <v>2019</v>
      </c>
      <c r="M3" s="10">
        <f t="shared" si="0"/>
        <v>2019</v>
      </c>
      <c r="N3" s="10">
        <f t="shared" si="0"/>
        <v>2019</v>
      </c>
      <c r="O3" s="10">
        <f t="shared" si="0"/>
        <v>2019</v>
      </c>
      <c r="P3" s="36">
        <f t="shared" si="0"/>
        <v>2019</v>
      </c>
    </row>
    <row r="4" spans="1:17" s="46" customFormat="1">
      <c r="A4" s="159"/>
      <c r="B4" s="160"/>
      <c r="C4" s="11" t="s">
        <v>14</v>
      </c>
      <c r="D4" s="11" t="s">
        <v>15</v>
      </c>
      <c r="E4" s="11" t="s">
        <v>16</v>
      </c>
      <c r="F4" s="11" t="s">
        <v>17</v>
      </c>
      <c r="G4" s="11" t="s">
        <v>18</v>
      </c>
      <c r="H4" s="11" t="s">
        <v>19</v>
      </c>
      <c r="I4" s="11" t="s">
        <v>20</v>
      </c>
      <c r="J4" s="11" t="s">
        <v>21</v>
      </c>
      <c r="K4" s="11" t="s">
        <v>22</v>
      </c>
      <c r="L4" s="11" t="s">
        <v>23</v>
      </c>
      <c r="M4" s="11" t="s">
        <v>24</v>
      </c>
      <c r="N4" s="11" t="s">
        <v>25</v>
      </c>
      <c r="O4" s="11" t="s">
        <v>26</v>
      </c>
      <c r="P4" s="37" t="s">
        <v>11</v>
      </c>
    </row>
    <row r="5" spans="1:17" s="51" customFormat="1">
      <c r="A5" s="47"/>
      <c r="B5" s="48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50"/>
    </row>
    <row r="6" spans="1:17" s="51" customFormat="1">
      <c r="A6" s="47" t="s">
        <v>27</v>
      </c>
      <c r="B6" s="48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50"/>
    </row>
    <row r="7" spans="1:17" s="51" customFormat="1">
      <c r="A7" s="47"/>
      <c r="B7" s="48" t="s">
        <v>28</v>
      </c>
      <c r="C7" s="49"/>
      <c r="D7" s="49">
        <v>0</v>
      </c>
      <c r="E7" s="49">
        <v>0</v>
      </c>
      <c r="F7" s="49">
        <v>0</v>
      </c>
      <c r="G7" s="49">
        <v>1000</v>
      </c>
      <c r="H7" s="49">
        <v>1000</v>
      </c>
      <c r="I7" s="49">
        <v>1000</v>
      </c>
      <c r="J7" s="49">
        <v>1000</v>
      </c>
      <c r="K7" s="49">
        <v>1000</v>
      </c>
      <c r="L7" s="49">
        <v>1000</v>
      </c>
      <c r="M7" s="49">
        <v>1000</v>
      </c>
      <c r="N7" s="49">
        <v>1000</v>
      </c>
      <c r="O7" s="49">
        <v>1000</v>
      </c>
      <c r="P7" s="52">
        <f t="shared" ref="P7:P13" si="1">SUM(C7:O7)</f>
        <v>9000</v>
      </c>
      <c r="Q7" s="49"/>
    </row>
    <row r="8" spans="1:17" s="51" customFormat="1">
      <c r="A8" s="47"/>
      <c r="B8" s="48" t="s">
        <v>28</v>
      </c>
      <c r="C8" s="49"/>
      <c r="D8" s="49">
        <v>0</v>
      </c>
      <c r="E8" s="49">
        <v>0</v>
      </c>
      <c r="F8" s="49">
        <v>0</v>
      </c>
      <c r="G8" s="49">
        <v>0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M8" s="49">
        <v>0</v>
      </c>
      <c r="N8" s="49">
        <v>0</v>
      </c>
      <c r="O8" s="49">
        <v>0</v>
      </c>
      <c r="P8" s="52">
        <f t="shared" si="1"/>
        <v>0</v>
      </c>
      <c r="Q8" s="49"/>
    </row>
    <row r="9" spans="1:17" s="51" customFormat="1">
      <c r="A9" s="47"/>
      <c r="B9" s="48" t="s">
        <v>29</v>
      </c>
      <c r="C9" s="49"/>
      <c r="D9" s="49">
        <v>0</v>
      </c>
      <c r="E9" s="49">
        <v>0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0</v>
      </c>
      <c r="N9" s="49">
        <v>0</v>
      </c>
      <c r="O9" s="49">
        <v>0</v>
      </c>
      <c r="P9" s="52">
        <f t="shared" si="1"/>
        <v>0</v>
      </c>
    </row>
    <row r="10" spans="1:17" s="51" customFormat="1">
      <c r="A10" s="47"/>
      <c r="B10" s="48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52">
        <f t="shared" si="1"/>
        <v>0</v>
      </c>
    </row>
    <row r="11" spans="1:17" s="51" customFormat="1">
      <c r="A11" s="47" t="s">
        <v>30</v>
      </c>
      <c r="B11" s="48"/>
      <c r="C11" s="49">
        <v>0</v>
      </c>
      <c r="D11" s="49">
        <v>0</v>
      </c>
      <c r="E11" s="49">
        <v>0</v>
      </c>
      <c r="F11" s="49">
        <v>0</v>
      </c>
      <c r="G11" s="49">
        <v>0</v>
      </c>
      <c r="H11" s="49">
        <v>0</v>
      </c>
      <c r="I11" s="49">
        <v>0</v>
      </c>
      <c r="J11" s="49">
        <v>0</v>
      </c>
      <c r="K11" s="49">
        <v>0</v>
      </c>
      <c r="L11" s="49">
        <v>0</v>
      </c>
      <c r="M11" s="49">
        <v>0</v>
      </c>
      <c r="N11" s="49">
        <v>0</v>
      </c>
      <c r="O11" s="49">
        <v>0</v>
      </c>
      <c r="P11" s="52">
        <f t="shared" si="1"/>
        <v>0</v>
      </c>
    </row>
    <row r="12" spans="1:17" s="51" customFormat="1">
      <c r="A12" s="47"/>
      <c r="B12" s="48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52">
        <f t="shared" si="1"/>
        <v>0</v>
      </c>
    </row>
    <row r="13" spans="1:17" s="51" customFormat="1">
      <c r="A13" s="47"/>
      <c r="B13" s="48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52">
        <f t="shared" si="1"/>
        <v>0</v>
      </c>
    </row>
    <row r="14" spans="1:17" s="13" customFormat="1" ht="15.75" thickBot="1">
      <c r="A14" s="67" t="s">
        <v>31</v>
      </c>
      <c r="B14" s="68"/>
      <c r="C14" s="146">
        <v>2441.8300000000163</v>
      </c>
      <c r="D14" s="12">
        <f t="shared" ref="D14:P14" si="2">SUM(D7:D13)</f>
        <v>0</v>
      </c>
      <c r="E14" s="12">
        <f t="shared" si="2"/>
        <v>0</v>
      </c>
      <c r="F14" s="12">
        <f t="shared" si="2"/>
        <v>0</v>
      </c>
      <c r="G14" s="12">
        <f t="shared" si="2"/>
        <v>1000</v>
      </c>
      <c r="H14" s="12">
        <f t="shared" si="2"/>
        <v>1000</v>
      </c>
      <c r="I14" s="12">
        <f t="shared" si="2"/>
        <v>1000</v>
      </c>
      <c r="J14" s="12">
        <f t="shared" si="2"/>
        <v>1000</v>
      </c>
      <c r="K14" s="12">
        <f t="shared" si="2"/>
        <v>1000</v>
      </c>
      <c r="L14" s="12">
        <f t="shared" si="2"/>
        <v>1000</v>
      </c>
      <c r="M14" s="12">
        <f t="shared" si="2"/>
        <v>1000</v>
      </c>
      <c r="N14" s="12">
        <f t="shared" si="2"/>
        <v>1000</v>
      </c>
      <c r="O14" s="12">
        <f t="shared" si="2"/>
        <v>1000</v>
      </c>
      <c r="P14" s="39">
        <f t="shared" si="2"/>
        <v>9000</v>
      </c>
    </row>
    <row r="15" spans="1:17" s="57" customFormat="1" ht="15.75" thickTop="1">
      <c r="A15" s="53"/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6"/>
    </row>
    <row r="16" spans="1:17" s="57" customFormat="1">
      <c r="A16" s="53" t="s">
        <v>32</v>
      </c>
      <c r="B16" s="54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6"/>
    </row>
    <row r="17" spans="1:16" s="57" customFormat="1">
      <c r="A17" s="53"/>
      <c r="B17" s="54" t="s">
        <v>94</v>
      </c>
      <c r="C17" s="55"/>
      <c r="D17" s="55">
        <f>100</f>
        <v>100</v>
      </c>
      <c r="E17" s="55">
        <v>50</v>
      </c>
      <c r="F17" s="55">
        <v>50</v>
      </c>
      <c r="G17" s="55">
        <v>50</v>
      </c>
      <c r="H17" s="55">
        <v>50</v>
      </c>
      <c r="I17" s="55">
        <v>50</v>
      </c>
      <c r="J17" s="55">
        <v>50</v>
      </c>
      <c r="K17" s="55">
        <v>50</v>
      </c>
      <c r="L17" s="55">
        <v>50</v>
      </c>
      <c r="M17" s="55">
        <v>50</v>
      </c>
      <c r="N17" s="55">
        <v>50</v>
      </c>
      <c r="O17" s="55">
        <v>50</v>
      </c>
      <c r="P17" s="58">
        <f t="shared" ref="P17:P28" si="3">SUM(C17:O17)</f>
        <v>650</v>
      </c>
    </row>
    <row r="18" spans="1:16" s="57" customFormat="1">
      <c r="A18" s="53"/>
      <c r="B18" s="54" t="s">
        <v>55</v>
      </c>
      <c r="C18" s="55"/>
      <c r="D18" s="55">
        <f>28.98+4</f>
        <v>32.980000000000004</v>
      </c>
      <c r="E18" s="55">
        <f>28.98+4</f>
        <v>32.980000000000004</v>
      </c>
      <c r="F18" s="55">
        <f>28.98+4</f>
        <v>32.980000000000004</v>
      </c>
      <c r="G18" s="55">
        <v>20</v>
      </c>
      <c r="H18" s="55">
        <v>20</v>
      </c>
      <c r="I18" s="55">
        <v>30</v>
      </c>
      <c r="J18" s="55">
        <v>30</v>
      </c>
      <c r="K18" s="55">
        <v>30</v>
      </c>
      <c r="L18" s="55">
        <v>30</v>
      </c>
      <c r="M18" s="55">
        <v>30</v>
      </c>
      <c r="N18" s="55">
        <v>30</v>
      </c>
      <c r="O18" s="55">
        <v>30</v>
      </c>
      <c r="P18" s="58">
        <f t="shared" si="3"/>
        <v>348.94</v>
      </c>
    </row>
    <row r="19" spans="1:16" s="57" customFormat="1">
      <c r="A19" s="53"/>
      <c r="B19" s="54" t="s">
        <v>76</v>
      </c>
      <c r="C19" s="55"/>
      <c r="D19" s="55">
        <f t="shared" ref="D19:O19" si="4">5000/12</f>
        <v>416.66666666666669</v>
      </c>
      <c r="E19" s="55">
        <f t="shared" si="4"/>
        <v>416.66666666666669</v>
      </c>
      <c r="F19" s="55">
        <f t="shared" si="4"/>
        <v>416.66666666666669</v>
      </c>
      <c r="G19" s="55">
        <f t="shared" si="4"/>
        <v>416.66666666666669</v>
      </c>
      <c r="H19" s="55">
        <f t="shared" si="4"/>
        <v>416.66666666666669</v>
      </c>
      <c r="I19" s="55">
        <f t="shared" si="4"/>
        <v>416.66666666666669</v>
      </c>
      <c r="J19" s="55">
        <f t="shared" si="4"/>
        <v>416.66666666666669</v>
      </c>
      <c r="K19" s="55">
        <f t="shared" si="4"/>
        <v>416.66666666666669</v>
      </c>
      <c r="L19" s="55">
        <f t="shared" si="4"/>
        <v>416.66666666666669</v>
      </c>
      <c r="M19" s="55">
        <f t="shared" si="4"/>
        <v>416.66666666666669</v>
      </c>
      <c r="N19" s="55">
        <f t="shared" si="4"/>
        <v>416.66666666666669</v>
      </c>
      <c r="O19" s="55">
        <f t="shared" si="4"/>
        <v>416.66666666666669</v>
      </c>
      <c r="P19" s="58">
        <f t="shared" si="3"/>
        <v>5000</v>
      </c>
    </row>
    <row r="20" spans="1:16" s="57" customFormat="1">
      <c r="A20" s="53"/>
      <c r="B20" s="54" t="s">
        <v>130</v>
      </c>
      <c r="C20" s="55"/>
      <c r="D20" s="55">
        <v>200</v>
      </c>
      <c r="E20" s="55">
        <v>200</v>
      </c>
      <c r="F20" s="55">
        <v>200</v>
      </c>
      <c r="G20" s="55">
        <v>200</v>
      </c>
      <c r="H20" s="55">
        <v>200</v>
      </c>
      <c r="I20" s="55">
        <f t="shared" ref="I20:O20" si="5">$H$20*2.5</f>
        <v>500</v>
      </c>
      <c r="J20" s="55">
        <f t="shared" si="5"/>
        <v>500</v>
      </c>
      <c r="K20" s="55">
        <f t="shared" si="5"/>
        <v>500</v>
      </c>
      <c r="L20" s="55">
        <f t="shared" si="5"/>
        <v>500</v>
      </c>
      <c r="M20" s="55">
        <f t="shared" si="5"/>
        <v>500</v>
      </c>
      <c r="N20" s="55">
        <f t="shared" si="5"/>
        <v>500</v>
      </c>
      <c r="O20" s="55">
        <f t="shared" si="5"/>
        <v>500</v>
      </c>
      <c r="P20" s="58">
        <f t="shared" si="3"/>
        <v>4500</v>
      </c>
    </row>
    <row r="21" spans="1:16" s="57" customFormat="1">
      <c r="A21" s="53"/>
      <c r="B21" s="54" t="s">
        <v>6</v>
      </c>
      <c r="C21" s="55"/>
      <c r="D21" s="55">
        <f>385</f>
        <v>385</v>
      </c>
      <c r="E21" s="55">
        <f>385</f>
        <v>385</v>
      </c>
      <c r="F21" s="55">
        <f>385</f>
        <v>385</v>
      </c>
      <c r="G21" s="55">
        <f>385</f>
        <v>385</v>
      </c>
      <c r="H21" s="55">
        <f>385</f>
        <v>385</v>
      </c>
      <c r="I21" s="55">
        <f>600</f>
        <v>600</v>
      </c>
      <c r="J21" s="55">
        <f>600</f>
        <v>600</v>
      </c>
      <c r="K21" s="55">
        <f>600</f>
        <v>600</v>
      </c>
      <c r="L21" s="55">
        <f>600</f>
        <v>600</v>
      </c>
      <c r="M21" s="55">
        <f>600</f>
        <v>600</v>
      </c>
      <c r="N21" s="55">
        <f>600</f>
        <v>600</v>
      </c>
      <c r="O21" s="55">
        <f>600</f>
        <v>600</v>
      </c>
      <c r="P21" s="58">
        <f t="shared" si="3"/>
        <v>6125</v>
      </c>
    </row>
    <row r="22" spans="1:16" s="57" customFormat="1">
      <c r="A22" s="53"/>
      <c r="B22" s="54" t="s">
        <v>7</v>
      </c>
      <c r="C22" s="55"/>
      <c r="D22" s="55">
        <v>100</v>
      </c>
      <c r="E22" s="55">
        <v>100</v>
      </c>
      <c r="F22" s="55">
        <v>100</v>
      </c>
      <c r="G22" s="55">
        <v>100</v>
      </c>
      <c r="H22" s="55">
        <v>100</v>
      </c>
      <c r="I22" s="55">
        <f>250</f>
        <v>250</v>
      </c>
      <c r="J22" s="55">
        <f>250</f>
        <v>250</v>
      </c>
      <c r="K22" s="55">
        <f>250</f>
        <v>250</v>
      </c>
      <c r="L22" s="55">
        <f>250</f>
        <v>250</v>
      </c>
      <c r="M22" s="55">
        <f>250</f>
        <v>250</v>
      </c>
      <c r="N22" s="55">
        <f>250</f>
        <v>250</v>
      </c>
      <c r="O22" s="55">
        <f>250</f>
        <v>250</v>
      </c>
      <c r="P22" s="58">
        <f t="shared" si="3"/>
        <v>2250</v>
      </c>
    </row>
    <row r="23" spans="1:16" s="57" customFormat="1">
      <c r="A23" s="53"/>
      <c r="B23" s="54" t="s">
        <v>95</v>
      </c>
      <c r="C23" s="55"/>
      <c r="D23" s="55">
        <v>1000</v>
      </c>
      <c r="E23" s="55">
        <v>1000</v>
      </c>
      <c r="F23" s="55">
        <v>1000</v>
      </c>
      <c r="G23" s="55">
        <v>1500</v>
      </c>
      <c r="H23" s="55">
        <v>0</v>
      </c>
      <c r="I23" s="55">
        <v>0</v>
      </c>
      <c r="J23" s="55">
        <v>0</v>
      </c>
      <c r="K23" s="55">
        <v>0</v>
      </c>
      <c r="L23" s="55">
        <v>0</v>
      </c>
      <c r="M23" s="55">
        <v>0</v>
      </c>
      <c r="N23" s="55">
        <v>0</v>
      </c>
      <c r="O23" s="55">
        <v>0</v>
      </c>
      <c r="P23" s="58">
        <f t="shared" si="3"/>
        <v>4500</v>
      </c>
    </row>
    <row r="24" spans="1:16" s="57" customFormat="1">
      <c r="A24" s="53"/>
      <c r="B24" s="54" t="s">
        <v>8</v>
      </c>
      <c r="C24" s="55"/>
      <c r="D24" s="55"/>
      <c r="E24" s="55">
        <v>500</v>
      </c>
      <c r="F24" s="55"/>
      <c r="G24" s="55">
        <v>500</v>
      </c>
      <c r="H24" s="55"/>
      <c r="I24" s="55">
        <v>500</v>
      </c>
      <c r="J24" s="55">
        <v>0</v>
      </c>
      <c r="K24" s="55">
        <v>0</v>
      </c>
      <c r="L24" s="55">
        <v>0</v>
      </c>
      <c r="M24" s="55">
        <v>0</v>
      </c>
      <c r="N24" s="55">
        <v>0</v>
      </c>
      <c r="O24" s="55">
        <v>0</v>
      </c>
      <c r="P24" s="58">
        <f t="shared" si="3"/>
        <v>1500</v>
      </c>
    </row>
    <row r="25" spans="1:16" s="57" customFormat="1">
      <c r="A25" s="53"/>
      <c r="B25" s="54" t="s">
        <v>33</v>
      </c>
      <c r="C25" s="55"/>
      <c r="D25" s="55">
        <v>0</v>
      </c>
      <c r="E25" s="55">
        <v>0</v>
      </c>
      <c r="F25" s="55">
        <v>0</v>
      </c>
      <c r="G25" s="55">
        <v>0</v>
      </c>
      <c r="H25" s="55">
        <v>0</v>
      </c>
      <c r="I25" s="55">
        <v>0</v>
      </c>
      <c r="J25" s="55">
        <v>0</v>
      </c>
      <c r="K25" s="55">
        <v>0</v>
      </c>
      <c r="L25" s="55">
        <v>0</v>
      </c>
      <c r="M25" s="55">
        <v>0</v>
      </c>
      <c r="N25" s="55">
        <v>0</v>
      </c>
      <c r="O25" s="55">
        <v>0</v>
      </c>
      <c r="P25" s="58">
        <f t="shared" si="3"/>
        <v>0</v>
      </c>
    </row>
    <row r="26" spans="1:16" s="57" customFormat="1">
      <c r="A26" s="53"/>
      <c r="B26" s="54" t="s">
        <v>34</v>
      </c>
      <c r="C26" s="55"/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  <c r="J26" s="55">
        <v>0</v>
      </c>
      <c r="K26" s="55">
        <v>0</v>
      </c>
      <c r="L26" s="55">
        <v>0</v>
      </c>
      <c r="M26" s="55">
        <v>0</v>
      </c>
      <c r="N26" s="55">
        <v>0</v>
      </c>
      <c r="O26" s="55">
        <v>0</v>
      </c>
      <c r="P26" s="58">
        <f t="shared" si="3"/>
        <v>0</v>
      </c>
    </row>
    <row r="27" spans="1:16" s="57" customFormat="1">
      <c r="A27" s="53"/>
      <c r="B27" s="54" t="s">
        <v>35</v>
      </c>
      <c r="C27" s="55"/>
      <c r="D27" s="55">
        <v>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55">
        <v>0</v>
      </c>
      <c r="M27" s="55">
        <v>0</v>
      </c>
      <c r="N27" s="55">
        <v>0</v>
      </c>
      <c r="O27" s="55">
        <v>0</v>
      </c>
      <c r="P27" s="58">
        <f t="shared" si="3"/>
        <v>0</v>
      </c>
    </row>
    <row r="28" spans="1:16" s="57" customFormat="1">
      <c r="A28" s="53"/>
      <c r="B28" s="54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8">
        <f t="shared" si="3"/>
        <v>0</v>
      </c>
    </row>
    <row r="29" spans="1:16" s="16" customFormat="1" ht="15.75" thickBot="1">
      <c r="A29" s="69" t="s">
        <v>36</v>
      </c>
      <c r="B29" s="70"/>
      <c r="C29" s="15">
        <f t="shared" ref="C29:P29" si="6">SUM(C17:C28)</f>
        <v>0</v>
      </c>
      <c r="D29" s="15">
        <f t="shared" si="6"/>
        <v>2234.6466666666665</v>
      </c>
      <c r="E29" s="15">
        <f t="shared" si="6"/>
        <v>2684.6466666666665</v>
      </c>
      <c r="F29" s="15">
        <f t="shared" si="6"/>
        <v>2184.6466666666665</v>
      </c>
      <c r="G29" s="15">
        <f t="shared" si="6"/>
        <v>3171.666666666667</v>
      </c>
      <c r="H29" s="15">
        <f t="shared" si="6"/>
        <v>1171.6666666666667</v>
      </c>
      <c r="I29" s="15">
        <f t="shared" si="6"/>
        <v>2346.666666666667</v>
      </c>
      <c r="J29" s="15">
        <f t="shared" si="6"/>
        <v>1846.6666666666667</v>
      </c>
      <c r="K29" s="15">
        <f t="shared" si="6"/>
        <v>1846.6666666666667</v>
      </c>
      <c r="L29" s="15">
        <f t="shared" si="6"/>
        <v>1846.6666666666667</v>
      </c>
      <c r="M29" s="15">
        <f t="shared" si="6"/>
        <v>1846.6666666666667</v>
      </c>
      <c r="N29" s="15">
        <f t="shared" si="6"/>
        <v>1846.6666666666667</v>
      </c>
      <c r="O29" s="15">
        <f t="shared" si="6"/>
        <v>1846.6666666666667</v>
      </c>
      <c r="P29" s="41">
        <f t="shared" si="6"/>
        <v>24873.940000000002</v>
      </c>
    </row>
    <row r="30" spans="1:16" ht="15.75" thickTop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</row>
    <row r="31" spans="1:16" hidden="1">
      <c r="A31" s="19" t="s">
        <v>37</v>
      </c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</row>
    <row r="32" spans="1:16" hidden="1"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40">
        <f>SUM(C32:O32)</f>
        <v>0</v>
      </c>
    </row>
    <row r="33" spans="1:16" hidden="1"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40">
        <f>SUM(C33:O33)</f>
        <v>0</v>
      </c>
    </row>
    <row r="34" spans="1:16" s="60" customFormat="1" ht="15.75" hidden="1" thickBot="1">
      <c r="A34" s="71" t="s">
        <v>38</v>
      </c>
      <c r="B34" s="72"/>
      <c r="C34" s="59">
        <f t="shared" ref="C34:P34" si="7">SUM(C32:C33)</f>
        <v>0</v>
      </c>
      <c r="D34" s="59">
        <f t="shared" si="7"/>
        <v>0</v>
      </c>
      <c r="E34" s="59">
        <f t="shared" si="7"/>
        <v>0</v>
      </c>
      <c r="F34" s="59">
        <f t="shared" si="7"/>
        <v>0</v>
      </c>
      <c r="G34" s="59">
        <f t="shared" si="7"/>
        <v>0</v>
      </c>
      <c r="H34" s="59">
        <f t="shared" si="7"/>
        <v>0</v>
      </c>
      <c r="I34" s="59">
        <f t="shared" si="7"/>
        <v>0</v>
      </c>
      <c r="J34" s="59">
        <f t="shared" si="7"/>
        <v>0</v>
      </c>
      <c r="K34" s="59">
        <f t="shared" si="7"/>
        <v>0</v>
      </c>
      <c r="L34" s="59">
        <f t="shared" si="7"/>
        <v>0</v>
      </c>
      <c r="M34" s="59">
        <f t="shared" si="7"/>
        <v>0</v>
      </c>
      <c r="N34" s="59">
        <f t="shared" si="7"/>
        <v>0</v>
      </c>
      <c r="O34" s="59">
        <f t="shared" si="7"/>
        <v>0</v>
      </c>
      <c r="P34" s="42">
        <f t="shared" si="7"/>
        <v>0</v>
      </c>
    </row>
    <row r="35" spans="1:16" hidden="1"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43"/>
    </row>
    <row r="36" spans="1:16" s="60" customFormat="1" ht="15.75" hidden="1" thickBot="1">
      <c r="A36" s="71" t="s">
        <v>39</v>
      </c>
      <c r="B36" s="72"/>
      <c r="C36" s="59">
        <f t="shared" ref="C36:P36" si="8">+C29+C34</f>
        <v>0</v>
      </c>
      <c r="D36" s="59">
        <f t="shared" si="8"/>
        <v>2234.6466666666665</v>
      </c>
      <c r="E36" s="59">
        <f t="shared" si="8"/>
        <v>2684.6466666666665</v>
      </c>
      <c r="F36" s="59">
        <f t="shared" si="8"/>
        <v>2184.6466666666665</v>
      </c>
      <c r="G36" s="59">
        <f t="shared" si="8"/>
        <v>3171.666666666667</v>
      </c>
      <c r="H36" s="59">
        <f t="shared" si="8"/>
        <v>1171.6666666666667</v>
      </c>
      <c r="I36" s="59">
        <f t="shared" si="8"/>
        <v>2346.666666666667</v>
      </c>
      <c r="J36" s="59">
        <f t="shared" si="8"/>
        <v>1846.6666666666667</v>
      </c>
      <c r="K36" s="59">
        <f t="shared" si="8"/>
        <v>1846.6666666666667</v>
      </c>
      <c r="L36" s="59">
        <f t="shared" si="8"/>
        <v>1846.6666666666667</v>
      </c>
      <c r="M36" s="59">
        <f t="shared" si="8"/>
        <v>1846.6666666666667</v>
      </c>
      <c r="N36" s="59">
        <f t="shared" si="8"/>
        <v>1846.6666666666667</v>
      </c>
      <c r="O36" s="59">
        <f t="shared" si="8"/>
        <v>1846.6666666666667</v>
      </c>
      <c r="P36" s="42">
        <f t="shared" si="8"/>
        <v>24873.940000000002</v>
      </c>
    </row>
    <row r="37" spans="1:16"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43"/>
    </row>
    <row r="38" spans="1:16" s="18" customFormat="1" ht="15.75" thickBot="1">
      <c r="A38" s="73" t="s">
        <v>40</v>
      </c>
      <c r="B38" s="74"/>
      <c r="C38" s="17">
        <f t="shared" ref="C38:P38" si="9">+C14-C36</f>
        <v>2441.8300000000163</v>
      </c>
      <c r="D38" s="17">
        <f t="shared" si="9"/>
        <v>-2234.6466666666665</v>
      </c>
      <c r="E38" s="17">
        <f t="shared" si="9"/>
        <v>-2684.6466666666665</v>
      </c>
      <c r="F38" s="17">
        <f t="shared" si="9"/>
        <v>-2184.6466666666665</v>
      </c>
      <c r="G38" s="17">
        <f t="shared" si="9"/>
        <v>-2171.666666666667</v>
      </c>
      <c r="H38" s="17">
        <f t="shared" si="9"/>
        <v>-171.66666666666674</v>
      </c>
      <c r="I38" s="17">
        <f t="shared" si="9"/>
        <v>-1346.666666666667</v>
      </c>
      <c r="J38" s="17">
        <f t="shared" si="9"/>
        <v>-846.66666666666674</v>
      </c>
      <c r="K38" s="17">
        <f t="shared" si="9"/>
        <v>-846.66666666666674</v>
      </c>
      <c r="L38" s="17">
        <f t="shared" si="9"/>
        <v>-846.66666666666674</v>
      </c>
      <c r="M38" s="17">
        <f t="shared" si="9"/>
        <v>-846.66666666666674</v>
      </c>
      <c r="N38" s="17">
        <f t="shared" si="9"/>
        <v>-846.66666666666674</v>
      </c>
      <c r="O38" s="17">
        <f t="shared" si="9"/>
        <v>-846.66666666666674</v>
      </c>
      <c r="P38" s="44">
        <f t="shared" si="9"/>
        <v>-15873.940000000002</v>
      </c>
    </row>
    <row r="39" spans="1:16" s="61" customFormat="1" ht="15.75" thickTop="1">
      <c r="A39" s="75"/>
      <c r="B39" s="76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3"/>
    </row>
    <row r="40" spans="1:16" s="61" customFormat="1">
      <c r="A40" s="75" t="s">
        <v>9</v>
      </c>
      <c r="B40" s="76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3"/>
    </row>
    <row r="41" spans="1:16" s="61" customFormat="1">
      <c r="A41" s="75"/>
      <c r="B41" s="76" t="s">
        <v>41</v>
      </c>
      <c r="C41" s="62">
        <f t="shared" ref="C41:P41" si="10">+C14</f>
        <v>2441.8300000000163</v>
      </c>
      <c r="D41" s="62">
        <f t="shared" si="10"/>
        <v>0</v>
      </c>
      <c r="E41" s="62">
        <f t="shared" si="10"/>
        <v>0</v>
      </c>
      <c r="F41" s="62">
        <f t="shared" si="10"/>
        <v>0</v>
      </c>
      <c r="G41" s="62">
        <f t="shared" si="10"/>
        <v>1000</v>
      </c>
      <c r="H41" s="62">
        <f t="shared" si="10"/>
        <v>1000</v>
      </c>
      <c r="I41" s="62">
        <f t="shared" si="10"/>
        <v>1000</v>
      </c>
      <c r="J41" s="62">
        <f t="shared" si="10"/>
        <v>1000</v>
      </c>
      <c r="K41" s="62">
        <f t="shared" si="10"/>
        <v>1000</v>
      </c>
      <c r="L41" s="62">
        <f t="shared" si="10"/>
        <v>1000</v>
      </c>
      <c r="M41" s="62">
        <f t="shared" si="10"/>
        <v>1000</v>
      </c>
      <c r="N41" s="62">
        <f t="shared" si="10"/>
        <v>1000</v>
      </c>
      <c r="O41" s="62">
        <f t="shared" si="10"/>
        <v>1000</v>
      </c>
      <c r="P41" s="64">
        <f t="shared" si="10"/>
        <v>9000</v>
      </c>
    </row>
    <row r="42" spans="1:16" s="61" customFormat="1">
      <c r="A42" s="75"/>
      <c r="B42" s="76" t="s">
        <v>42</v>
      </c>
      <c r="C42" s="62">
        <f t="shared" ref="C42:P42" si="11">+C36</f>
        <v>0</v>
      </c>
      <c r="D42" s="62">
        <f t="shared" si="11"/>
        <v>2234.6466666666665</v>
      </c>
      <c r="E42" s="62">
        <f t="shared" si="11"/>
        <v>2684.6466666666665</v>
      </c>
      <c r="F42" s="62">
        <f t="shared" si="11"/>
        <v>2184.6466666666665</v>
      </c>
      <c r="G42" s="62">
        <f t="shared" si="11"/>
        <v>3171.666666666667</v>
      </c>
      <c r="H42" s="62">
        <f t="shared" si="11"/>
        <v>1171.6666666666667</v>
      </c>
      <c r="I42" s="62">
        <f t="shared" si="11"/>
        <v>2346.666666666667</v>
      </c>
      <c r="J42" s="62">
        <f t="shared" si="11"/>
        <v>1846.6666666666667</v>
      </c>
      <c r="K42" s="62">
        <f t="shared" si="11"/>
        <v>1846.6666666666667</v>
      </c>
      <c r="L42" s="62">
        <f t="shared" si="11"/>
        <v>1846.6666666666667</v>
      </c>
      <c r="M42" s="62">
        <f t="shared" si="11"/>
        <v>1846.6666666666667</v>
      </c>
      <c r="N42" s="62">
        <f t="shared" si="11"/>
        <v>1846.6666666666667</v>
      </c>
      <c r="O42" s="62">
        <f t="shared" si="11"/>
        <v>1846.6666666666667</v>
      </c>
      <c r="P42" s="64">
        <f t="shared" si="11"/>
        <v>24873.940000000002</v>
      </c>
    </row>
    <row r="43" spans="1:16" s="61" customFormat="1">
      <c r="A43" s="75"/>
      <c r="B43" s="76" t="s">
        <v>43</v>
      </c>
      <c r="C43" s="62">
        <f t="shared" ref="C43:O43" si="12">-C49</f>
        <v>0</v>
      </c>
      <c r="D43" s="62">
        <f t="shared" si="12"/>
        <v>0</v>
      </c>
      <c r="E43" s="62">
        <f t="shared" si="12"/>
        <v>0</v>
      </c>
      <c r="F43" s="62">
        <f t="shared" si="12"/>
        <v>0</v>
      </c>
      <c r="G43" s="62">
        <f t="shared" si="12"/>
        <v>0</v>
      </c>
      <c r="H43" s="62">
        <f t="shared" si="12"/>
        <v>0</v>
      </c>
      <c r="I43" s="62">
        <f t="shared" si="12"/>
        <v>0</v>
      </c>
      <c r="J43" s="62">
        <f t="shared" si="12"/>
        <v>0</v>
      </c>
      <c r="K43" s="62">
        <f t="shared" si="12"/>
        <v>0</v>
      </c>
      <c r="L43" s="62">
        <f t="shared" si="12"/>
        <v>0</v>
      </c>
      <c r="M43" s="62">
        <f t="shared" si="12"/>
        <v>0</v>
      </c>
      <c r="N43" s="62">
        <f t="shared" si="12"/>
        <v>0</v>
      </c>
      <c r="O43" s="62">
        <f t="shared" si="12"/>
        <v>0</v>
      </c>
      <c r="P43" s="64">
        <f>SUM(C43:O43)</f>
        <v>0</v>
      </c>
    </row>
    <row r="44" spans="1:16" s="61" customFormat="1">
      <c r="A44" s="75"/>
      <c r="B44" s="76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3"/>
    </row>
    <row r="45" spans="1:16" s="87" customFormat="1" ht="15.75" thickBot="1">
      <c r="A45" s="83" t="s">
        <v>44</v>
      </c>
      <c r="B45" s="84"/>
      <c r="C45" s="85">
        <f>C41-C42+C43</f>
        <v>2441.8300000000163</v>
      </c>
      <c r="D45" s="85">
        <f t="shared" ref="D45:O45" si="13">+C45+D41-D42+D43</f>
        <v>207.18333333334976</v>
      </c>
      <c r="E45" s="85">
        <f t="shared" si="13"/>
        <v>-2477.4633333333168</v>
      </c>
      <c r="F45" s="85">
        <f t="shared" si="13"/>
        <v>-4662.1099999999833</v>
      </c>
      <c r="G45" s="85">
        <f t="shared" si="13"/>
        <v>-6833.7766666666503</v>
      </c>
      <c r="H45" s="85">
        <f t="shared" si="13"/>
        <v>-7005.4433333333172</v>
      </c>
      <c r="I45" s="85">
        <f t="shared" si="13"/>
        <v>-8352.1099999999842</v>
      </c>
      <c r="J45" s="85">
        <f t="shared" si="13"/>
        <v>-9198.7766666666503</v>
      </c>
      <c r="K45" s="85">
        <f t="shared" si="13"/>
        <v>-10045.443333333316</v>
      </c>
      <c r="L45" s="85">
        <f t="shared" si="13"/>
        <v>-10892.109999999982</v>
      </c>
      <c r="M45" s="85">
        <f t="shared" si="13"/>
        <v>-11738.776666666648</v>
      </c>
      <c r="N45" s="85">
        <f t="shared" si="13"/>
        <v>-12585.443333333315</v>
      </c>
      <c r="O45" s="85">
        <f t="shared" si="13"/>
        <v>-13432.109999999981</v>
      </c>
      <c r="P45" s="86"/>
    </row>
    <row r="46" spans="1:16" s="61" customFormat="1" ht="15.75" thickTop="1">
      <c r="A46" s="75" t="s">
        <v>45</v>
      </c>
      <c r="B46" s="76"/>
      <c r="C46" s="62"/>
      <c r="D46" s="62"/>
      <c r="N46" s="62"/>
      <c r="O46" s="62"/>
      <c r="P46" s="63"/>
    </row>
    <row r="47" spans="1:16" s="61" customFormat="1">
      <c r="A47" s="75"/>
      <c r="B47" s="76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3"/>
    </row>
    <row r="48" spans="1:16" s="61" customFormat="1">
      <c r="A48" s="75" t="s">
        <v>4</v>
      </c>
      <c r="B48" s="76"/>
      <c r="C48" s="121">
        <v>0</v>
      </c>
      <c r="D48" s="62">
        <f t="shared" ref="D48:O48" si="14">+C52</f>
        <v>0</v>
      </c>
      <c r="E48" s="62">
        <f t="shared" si="14"/>
        <v>0</v>
      </c>
      <c r="F48" s="62">
        <f t="shared" si="14"/>
        <v>0</v>
      </c>
      <c r="G48" s="62">
        <f t="shared" si="14"/>
        <v>0</v>
      </c>
      <c r="H48" s="62">
        <f t="shared" si="14"/>
        <v>0</v>
      </c>
      <c r="I48" s="62">
        <f t="shared" si="14"/>
        <v>0</v>
      </c>
      <c r="J48" s="62">
        <f t="shared" si="14"/>
        <v>0</v>
      </c>
      <c r="K48" s="62">
        <f t="shared" si="14"/>
        <v>0</v>
      </c>
      <c r="L48" s="62">
        <f t="shared" si="14"/>
        <v>0</v>
      </c>
      <c r="M48" s="62">
        <f t="shared" si="14"/>
        <v>0</v>
      </c>
      <c r="N48" s="62">
        <f t="shared" si="14"/>
        <v>0</v>
      </c>
      <c r="O48" s="62">
        <f t="shared" si="14"/>
        <v>0</v>
      </c>
      <c r="P48" s="63"/>
    </row>
    <row r="49" spans="1:16" s="61" customFormat="1">
      <c r="A49" s="75"/>
      <c r="B49" s="76" t="s">
        <v>43</v>
      </c>
      <c r="C49" s="62">
        <v>0</v>
      </c>
      <c r="D49" s="62">
        <v>0</v>
      </c>
      <c r="E49" s="62">
        <v>0</v>
      </c>
      <c r="F49" s="62">
        <v>0</v>
      </c>
      <c r="G49" s="62">
        <v>0</v>
      </c>
      <c r="H49" s="62">
        <v>0</v>
      </c>
      <c r="I49" s="62">
        <v>0</v>
      </c>
      <c r="J49" s="62">
        <v>0</v>
      </c>
      <c r="K49" s="62">
        <v>0</v>
      </c>
      <c r="L49" s="62">
        <v>0</v>
      </c>
      <c r="M49" s="62">
        <v>0</v>
      </c>
      <c r="N49" s="62">
        <v>0</v>
      </c>
      <c r="O49" s="62">
        <v>0</v>
      </c>
      <c r="P49" s="64">
        <f>SUM(C49:O49)</f>
        <v>0</v>
      </c>
    </row>
    <row r="50" spans="1:16" s="61" customFormat="1">
      <c r="A50" s="75"/>
      <c r="B50" s="76" t="s">
        <v>46</v>
      </c>
      <c r="C50" s="62">
        <v>0</v>
      </c>
      <c r="D50" s="62">
        <v>0</v>
      </c>
      <c r="E50" s="62">
        <v>0</v>
      </c>
      <c r="F50" s="62">
        <v>0</v>
      </c>
      <c r="G50" s="62">
        <v>0</v>
      </c>
      <c r="H50" s="62">
        <v>0</v>
      </c>
      <c r="I50" s="62">
        <v>0</v>
      </c>
      <c r="J50" s="62">
        <v>0</v>
      </c>
      <c r="K50" s="62">
        <v>0</v>
      </c>
      <c r="L50" s="62">
        <v>0</v>
      </c>
      <c r="M50" s="62">
        <v>0</v>
      </c>
      <c r="N50" s="62">
        <v>0</v>
      </c>
      <c r="O50" s="62">
        <v>0</v>
      </c>
      <c r="P50" s="64">
        <f>SUM(C50:O50)</f>
        <v>0</v>
      </c>
    </row>
    <row r="51" spans="1:16" s="61" customFormat="1">
      <c r="A51" s="75"/>
      <c r="B51" s="76" t="s">
        <v>47</v>
      </c>
      <c r="C51" s="62">
        <v>0</v>
      </c>
      <c r="D51" s="62">
        <v>0</v>
      </c>
      <c r="E51" s="62">
        <v>0</v>
      </c>
      <c r="F51" s="62">
        <v>0</v>
      </c>
      <c r="G51" s="62">
        <v>0</v>
      </c>
      <c r="H51" s="62">
        <v>0</v>
      </c>
      <c r="I51" s="62">
        <v>0</v>
      </c>
      <c r="J51" s="62">
        <v>0</v>
      </c>
      <c r="K51" s="62">
        <v>0</v>
      </c>
      <c r="L51" s="62">
        <v>0</v>
      </c>
      <c r="M51" s="62">
        <v>0</v>
      </c>
      <c r="N51" s="62">
        <v>0</v>
      </c>
      <c r="O51" s="62">
        <v>0</v>
      </c>
      <c r="P51" s="64">
        <f>SUM(C51:O51)</f>
        <v>0</v>
      </c>
    </row>
    <row r="52" spans="1:16" s="87" customFormat="1" ht="15.75" thickBot="1">
      <c r="A52" s="83" t="s">
        <v>48</v>
      </c>
      <c r="B52" s="84"/>
      <c r="C52" s="85">
        <f t="shared" ref="C52:O52" si="15">SUM(C48:C51)</f>
        <v>0</v>
      </c>
      <c r="D52" s="85">
        <f t="shared" si="15"/>
        <v>0</v>
      </c>
      <c r="E52" s="85">
        <f t="shared" si="15"/>
        <v>0</v>
      </c>
      <c r="F52" s="85">
        <f t="shared" si="15"/>
        <v>0</v>
      </c>
      <c r="G52" s="85">
        <f t="shared" si="15"/>
        <v>0</v>
      </c>
      <c r="H52" s="85">
        <f t="shared" si="15"/>
        <v>0</v>
      </c>
      <c r="I52" s="85">
        <f t="shared" si="15"/>
        <v>0</v>
      </c>
      <c r="J52" s="85">
        <f t="shared" si="15"/>
        <v>0</v>
      </c>
      <c r="K52" s="85">
        <f t="shared" si="15"/>
        <v>0</v>
      </c>
      <c r="L52" s="85">
        <f t="shared" si="15"/>
        <v>0</v>
      </c>
      <c r="M52" s="85">
        <f t="shared" si="15"/>
        <v>0</v>
      </c>
      <c r="N52" s="85">
        <f t="shared" si="15"/>
        <v>0</v>
      </c>
      <c r="O52" s="85">
        <f t="shared" si="15"/>
        <v>0</v>
      </c>
      <c r="P52" s="88"/>
    </row>
    <row r="53" spans="1:16" ht="15.75" thickTop="1"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</row>
    <row r="54" spans="1:16" s="82" customFormat="1" thickBot="1">
      <c r="A54" s="78" t="s">
        <v>104</v>
      </c>
      <c r="B54" s="79"/>
      <c r="C54" s="80">
        <f t="shared" ref="C54:O54" si="16">+C45+C52</f>
        <v>2441.8300000000163</v>
      </c>
      <c r="D54" s="80">
        <f t="shared" si="16"/>
        <v>207.18333333334976</v>
      </c>
      <c r="E54" s="80">
        <f t="shared" si="16"/>
        <v>-2477.4633333333168</v>
      </c>
      <c r="F54" s="80">
        <f t="shared" si="16"/>
        <v>-4662.1099999999833</v>
      </c>
      <c r="G54" s="80">
        <f t="shared" si="16"/>
        <v>-6833.7766666666503</v>
      </c>
      <c r="H54" s="80">
        <f t="shared" si="16"/>
        <v>-7005.4433333333172</v>
      </c>
      <c r="I54" s="80">
        <f t="shared" si="16"/>
        <v>-8352.1099999999842</v>
      </c>
      <c r="J54" s="80">
        <f t="shared" si="16"/>
        <v>-9198.7766666666503</v>
      </c>
      <c r="K54" s="80">
        <f t="shared" si="16"/>
        <v>-10045.443333333316</v>
      </c>
      <c r="L54" s="80">
        <f t="shared" si="16"/>
        <v>-10892.109999999982</v>
      </c>
      <c r="M54" s="80">
        <f t="shared" si="16"/>
        <v>-11738.776666666648</v>
      </c>
      <c r="N54" s="80">
        <f t="shared" si="16"/>
        <v>-12585.443333333315</v>
      </c>
      <c r="O54" s="80">
        <f t="shared" si="16"/>
        <v>-13432.109999999981</v>
      </c>
      <c r="P54" s="81"/>
    </row>
    <row r="55" spans="1:16" ht="15.75" thickTop="1"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</row>
    <row r="56" spans="1:16"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</row>
    <row r="57" spans="1:16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6"/>
      <c r="O57" s="65"/>
    </row>
    <row r="58" spans="1:16">
      <c r="A58" s="77" t="s">
        <v>49</v>
      </c>
      <c r="L58" s="65"/>
    </row>
    <row r="59" spans="1:16">
      <c r="A59" s="77" t="s">
        <v>50</v>
      </c>
      <c r="F59" s="14"/>
      <c r="G59" s="14"/>
      <c r="L59" s="65"/>
      <c r="O59" s="65"/>
      <c r="P59" s="40"/>
    </row>
    <row r="60" spans="1:16">
      <c r="A60" s="77" t="s">
        <v>51</v>
      </c>
      <c r="D60" s="14"/>
    </row>
    <row r="61" spans="1:16">
      <c r="D61" s="14"/>
    </row>
    <row r="62" spans="1:16">
      <c r="D62" s="14"/>
    </row>
    <row r="63" spans="1:16">
      <c r="D63" s="14"/>
    </row>
    <row r="64" spans="1:16">
      <c r="D64" s="14"/>
    </row>
    <row r="65" spans="4:4">
      <c r="D65" s="14"/>
    </row>
    <row r="66" spans="4:4">
      <c r="D66" s="14"/>
    </row>
    <row r="67" spans="4:4">
      <c r="D67" s="14"/>
    </row>
    <row r="68" spans="4:4">
      <c r="D68" s="14"/>
    </row>
    <row r="69" spans="4:4">
      <c r="D69" s="14"/>
    </row>
    <row r="70" spans="4:4">
      <c r="D70" s="14"/>
    </row>
    <row r="71" spans="4:4">
      <c r="D71" s="14"/>
    </row>
    <row r="72" spans="4:4">
      <c r="D72" s="14"/>
    </row>
    <row r="73" spans="4:4">
      <c r="D73" s="14"/>
    </row>
    <row r="74" spans="4:4">
      <c r="D74" s="14"/>
    </row>
    <row r="75" spans="4:4">
      <c r="D75" s="14"/>
    </row>
    <row r="76" spans="4:4">
      <c r="D76" s="14"/>
    </row>
    <row r="77" spans="4:4">
      <c r="D77" s="14"/>
    </row>
    <row r="78" spans="4:4">
      <c r="D78" s="14"/>
    </row>
    <row r="79" spans="4:4">
      <c r="D79" s="14"/>
    </row>
    <row r="80" spans="4:4">
      <c r="D80" s="14"/>
    </row>
    <row r="81" spans="4:4">
      <c r="D81" s="14"/>
    </row>
    <row r="82" spans="4:4">
      <c r="D82" s="14"/>
    </row>
    <row r="83" spans="4:4">
      <c r="D83" s="14"/>
    </row>
    <row r="84" spans="4:4">
      <c r="D84" s="14"/>
    </row>
    <row r="85" spans="4:4">
      <c r="D85" s="14"/>
    </row>
    <row r="86" spans="4:4">
      <c r="D86" s="14"/>
    </row>
    <row r="87" spans="4:4">
      <c r="D87" s="14"/>
    </row>
    <row r="88" spans="4:4">
      <c r="D88" s="14"/>
    </row>
    <row r="89" spans="4:4">
      <c r="D89" s="14"/>
    </row>
    <row r="90" spans="4:4">
      <c r="D90" s="14"/>
    </row>
    <row r="91" spans="4:4">
      <c r="D91" s="14"/>
    </row>
    <row r="92" spans="4:4">
      <c r="D92" s="14"/>
    </row>
    <row r="93" spans="4:4">
      <c r="D93" s="14"/>
    </row>
    <row r="94" spans="4:4">
      <c r="D94" s="14"/>
    </row>
    <row r="95" spans="4:4">
      <c r="D95" s="14"/>
    </row>
    <row r="96" spans="4:4">
      <c r="D96" s="14"/>
    </row>
    <row r="97" spans="4:4">
      <c r="D97" s="14"/>
    </row>
    <row r="98" spans="4:4">
      <c r="D98" s="14"/>
    </row>
    <row r="99" spans="4:4">
      <c r="D99" s="14"/>
    </row>
    <row r="100" spans="4:4">
      <c r="D100" s="14"/>
    </row>
    <row r="101" spans="4:4">
      <c r="D101" s="14"/>
    </row>
    <row r="102" spans="4:4">
      <c r="D102" s="14"/>
    </row>
    <row r="103" spans="4:4">
      <c r="D103" s="14"/>
    </row>
    <row r="104" spans="4:4">
      <c r="D104" s="14"/>
    </row>
    <row r="105" spans="4:4">
      <c r="D105" s="14"/>
    </row>
    <row r="106" spans="4:4">
      <c r="D106" s="14"/>
    </row>
    <row r="107" spans="4:4">
      <c r="D107" s="14"/>
    </row>
    <row r="108" spans="4:4">
      <c r="D108" s="14"/>
    </row>
    <row r="109" spans="4:4">
      <c r="D109" s="14"/>
    </row>
    <row r="110" spans="4:4">
      <c r="D110" s="14"/>
    </row>
    <row r="111" spans="4:4">
      <c r="D111" s="14"/>
    </row>
    <row r="112" spans="4:4">
      <c r="D112" s="14"/>
    </row>
    <row r="113" spans="4:4">
      <c r="D113" s="14"/>
    </row>
    <row r="114" spans="4:4">
      <c r="D114" s="14"/>
    </row>
    <row r="115" spans="4:4">
      <c r="D115" s="14"/>
    </row>
    <row r="116" spans="4:4">
      <c r="D116" s="14"/>
    </row>
    <row r="117" spans="4:4">
      <c r="D117" s="14"/>
    </row>
    <row r="118" spans="4:4">
      <c r="D118" s="14"/>
    </row>
    <row r="119" spans="4:4">
      <c r="D119" s="14"/>
    </row>
    <row r="120" spans="4:4">
      <c r="D120" s="14"/>
    </row>
    <row r="121" spans="4:4">
      <c r="D121" s="14"/>
    </row>
    <row r="122" spans="4:4">
      <c r="D122" s="14"/>
    </row>
    <row r="123" spans="4:4">
      <c r="D123" s="14"/>
    </row>
    <row r="124" spans="4:4">
      <c r="D124" s="14"/>
    </row>
    <row r="125" spans="4:4">
      <c r="D125" s="14"/>
    </row>
    <row r="126" spans="4:4">
      <c r="D126" s="14"/>
    </row>
    <row r="127" spans="4:4">
      <c r="D127" s="14"/>
    </row>
    <row r="128" spans="4:4">
      <c r="D128" s="14"/>
    </row>
    <row r="129" spans="4:4">
      <c r="D129" s="14"/>
    </row>
    <row r="130" spans="4:4">
      <c r="D130" s="14"/>
    </row>
    <row r="131" spans="4:4">
      <c r="D131" s="14"/>
    </row>
    <row r="132" spans="4:4">
      <c r="D132" s="14"/>
    </row>
    <row r="133" spans="4:4">
      <c r="D133" s="14"/>
    </row>
    <row r="134" spans="4:4">
      <c r="D134" s="14"/>
    </row>
    <row r="135" spans="4:4">
      <c r="D135" s="14"/>
    </row>
    <row r="136" spans="4:4">
      <c r="D136" s="14"/>
    </row>
    <row r="137" spans="4:4">
      <c r="D137" s="14"/>
    </row>
    <row r="138" spans="4:4">
      <c r="D138" s="14"/>
    </row>
    <row r="139" spans="4:4">
      <c r="D139" s="14"/>
    </row>
    <row r="140" spans="4:4">
      <c r="D140" s="14"/>
    </row>
    <row r="141" spans="4:4">
      <c r="D141" s="14"/>
    </row>
    <row r="142" spans="4:4">
      <c r="D142" s="14"/>
    </row>
    <row r="143" spans="4:4">
      <c r="D143" s="14"/>
    </row>
    <row r="144" spans="4:4">
      <c r="D144" s="14"/>
    </row>
    <row r="145" spans="4:4">
      <c r="D145" s="14"/>
    </row>
    <row r="146" spans="4:4">
      <c r="D146" s="14"/>
    </row>
    <row r="147" spans="4:4">
      <c r="D147" s="14"/>
    </row>
    <row r="148" spans="4:4">
      <c r="D148" s="14"/>
    </row>
    <row r="149" spans="4:4">
      <c r="D149" s="14"/>
    </row>
    <row r="150" spans="4:4">
      <c r="D150" s="14"/>
    </row>
    <row r="151" spans="4:4">
      <c r="D151" s="14"/>
    </row>
    <row r="152" spans="4:4">
      <c r="D152" s="14"/>
    </row>
    <row r="153" spans="4:4">
      <c r="D153" s="14"/>
    </row>
    <row r="154" spans="4:4">
      <c r="D154" s="14"/>
    </row>
    <row r="155" spans="4:4">
      <c r="D155" s="14"/>
    </row>
    <row r="156" spans="4:4">
      <c r="D156" s="14"/>
    </row>
    <row r="157" spans="4:4">
      <c r="D157" s="14"/>
    </row>
    <row r="158" spans="4:4">
      <c r="D158" s="14"/>
    </row>
    <row r="159" spans="4:4">
      <c r="D159" s="14"/>
    </row>
    <row r="160" spans="4:4">
      <c r="D160" s="14"/>
    </row>
    <row r="161" spans="4:4">
      <c r="D161" s="14"/>
    </row>
    <row r="162" spans="4:4">
      <c r="D162" s="14"/>
    </row>
    <row r="163" spans="4:4">
      <c r="D163" s="14"/>
    </row>
    <row r="164" spans="4:4">
      <c r="D164" s="14"/>
    </row>
    <row r="165" spans="4:4">
      <c r="D165" s="14"/>
    </row>
    <row r="166" spans="4:4">
      <c r="D166" s="14"/>
    </row>
    <row r="167" spans="4:4">
      <c r="D167" s="14"/>
    </row>
  </sheetData>
  <mergeCells count="1">
    <mergeCell ref="A1:B4"/>
  </mergeCells>
  <printOptions gridLines="1"/>
  <pageMargins left="0.25" right="0.25" top="0.25" bottom="0.25" header="0.5" footer="0.5"/>
  <pageSetup paperSize="5" scale="77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EEC14-798B-4AF9-822E-9705A59752D2}">
  <sheetPr codeName="Sheet4"/>
  <dimension ref="A1:U10"/>
  <sheetViews>
    <sheetView zoomScaleNormal="100" workbookViewId="0">
      <selection activeCell="M6" sqref="M6"/>
    </sheetView>
  </sheetViews>
  <sheetFormatPr defaultRowHeight="12.75"/>
  <cols>
    <col min="1" max="1" width="20.85546875" bestFit="1" customWidth="1"/>
    <col min="2" max="2" width="17" bestFit="1" customWidth="1"/>
    <col min="3" max="3" width="12.5703125" bestFit="1" customWidth="1"/>
    <col min="4" max="10" width="9.42578125" bestFit="1" customWidth="1"/>
    <col min="11" max="11" width="9.28515625" bestFit="1" customWidth="1"/>
    <col min="12" max="12" width="9.42578125" bestFit="1" customWidth="1"/>
    <col min="13" max="13" width="17.85546875" bestFit="1" customWidth="1"/>
    <col min="14" max="14" width="17" bestFit="1" customWidth="1"/>
    <col min="15" max="16" width="5" bestFit="1" customWidth="1"/>
    <col min="17" max="18" width="7" bestFit="1" customWidth="1"/>
    <col min="19" max="19" width="4.28515625" bestFit="1" customWidth="1"/>
    <col min="20" max="20" width="7" bestFit="1" customWidth="1"/>
    <col min="21" max="21" width="11.7109375" bestFit="1" customWidth="1"/>
    <col min="22" max="23" width="16.85546875" bestFit="1" customWidth="1"/>
    <col min="24" max="24" width="9.140625" bestFit="1" customWidth="1"/>
    <col min="25" max="27" width="8.140625" bestFit="1" customWidth="1"/>
    <col min="28" max="37" width="9.140625" bestFit="1" customWidth="1"/>
    <col min="38" max="40" width="8.140625" bestFit="1" customWidth="1"/>
    <col min="41" max="49" width="9.140625" bestFit="1" customWidth="1"/>
    <col min="50" max="53" width="8.140625" bestFit="1" customWidth="1"/>
    <col min="54" max="58" width="9.140625" bestFit="1" customWidth="1"/>
    <col min="59" max="59" width="8.140625" bestFit="1" customWidth="1"/>
    <col min="60" max="60" width="9.140625" bestFit="1" customWidth="1"/>
    <col min="61" max="62" width="8.140625" bestFit="1" customWidth="1"/>
    <col min="63" max="66" width="9.140625" bestFit="1" customWidth="1"/>
    <col min="67" max="70" width="8.140625" bestFit="1" customWidth="1"/>
    <col min="71" max="79" width="9.140625" bestFit="1" customWidth="1"/>
    <col min="80" max="80" width="14" bestFit="1" customWidth="1"/>
    <col min="81" max="89" width="9.140625" bestFit="1" customWidth="1"/>
    <col min="90" max="90" width="7.140625" bestFit="1" customWidth="1"/>
    <col min="91" max="91" width="11.7109375" bestFit="1" customWidth="1"/>
    <col min="92" max="122" width="10.7109375" bestFit="1" customWidth="1"/>
  </cols>
  <sheetData>
    <row r="1" spans="1:21">
      <c r="A1" s="89" t="s">
        <v>165</v>
      </c>
      <c r="D1" s="89" t="s">
        <v>57</v>
      </c>
      <c r="M1" s="89" t="s">
        <v>165</v>
      </c>
      <c r="N1" s="89" t="s">
        <v>168</v>
      </c>
    </row>
    <row r="2" spans="1:21">
      <c r="A2" s="89" t="s">
        <v>52</v>
      </c>
      <c r="B2" s="89" t="s">
        <v>53</v>
      </c>
      <c r="C2" s="89" t="s">
        <v>2</v>
      </c>
      <c r="D2" t="s">
        <v>102</v>
      </c>
      <c r="E2" t="s">
        <v>128</v>
      </c>
      <c r="F2" t="s">
        <v>129</v>
      </c>
      <c r="G2" t="s">
        <v>160</v>
      </c>
      <c r="H2" t="s">
        <v>161</v>
      </c>
      <c r="I2" t="s">
        <v>162</v>
      </c>
      <c r="J2" t="s">
        <v>163</v>
      </c>
      <c r="K2" t="s">
        <v>11</v>
      </c>
      <c r="M2" s="89" t="s">
        <v>166</v>
      </c>
      <c r="N2" t="s">
        <v>102</v>
      </c>
      <c r="O2" t="s">
        <v>128</v>
      </c>
      <c r="P2" t="s">
        <v>129</v>
      </c>
      <c r="Q2" t="s">
        <v>160</v>
      </c>
      <c r="R2" t="s">
        <v>161</v>
      </c>
      <c r="S2" t="s">
        <v>162</v>
      </c>
      <c r="T2" t="s">
        <v>163</v>
      </c>
      <c r="U2" t="s">
        <v>167</v>
      </c>
    </row>
    <row r="3" spans="1:21">
      <c r="A3" t="s">
        <v>97</v>
      </c>
      <c r="B3" t="s">
        <v>98</v>
      </c>
      <c r="D3" s="154">
        <v>36.980000000000004</v>
      </c>
      <c r="E3" s="154">
        <v>43.2</v>
      </c>
      <c r="F3" s="154">
        <v>45.48</v>
      </c>
      <c r="G3" s="154">
        <v>24.89</v>
      </c>
      <c r="H3" s="154">
        <v>12.88</v>
      </c>
      <c r="I3" s="154">
        <v>13.08</v>
      </c>
      <c r="J3" s="154">
        <v>4</v>
      </c>
      <c r="K3" s="154">
        <v>180.51000000000002</v>
      </c>
      <c r="M3" s="155" t="s">
        <v>3</v>
      </c>
      <c r="N3" s="154">
        <v>2542.6200000000163</v>
      </c>
      <c r="O3" s="154">
        <v>0.29000000000000004</v>
      </c>
      <c r="P3" s="154">
        <v>0.45</v>
      </c>
      <c r="Q3" s="154">
        <v>1245.4000000000001</v>
      </c>
      <c r="R3" s="154">
        <v>126.51000000000002</v>
      </c>
      <c r="S3" s="154">
        <v>5.6999999999999993</v>
      </c>
      <c r="T3" s="154">
        <v>508.35</v>
      </c>
      <c r="U3" s="154">
        <v>4429.3200000000161</v>
      </c>
    </row>
    <row r="4" spans="1:21">
      <c r="B4" t="s">
        <v>6</v>
      </c>
      <c r="D4" s="154">
        <v>385</v>
      </c>
      <c r="E4" s="154">
        <v>385</v>
      </c>
      <c r="F4" s="154"/>
      <c r="G4" s="154"/>
      <c r="H4" s="154"/>
      <c r="I4" s="154"/>
      <c r="J4" s="154"/>
      <c r="K4" s="154">
        <v>770</v>
      </c>
      <c r="M4" s="156" t="s">
        <v>9</v>
      </c>
      <c r="N4" s="154">
        <v>2441.8300000000163</v>
      </c>
      <c r="O4" s="154"/>
      <c r="P4" s="154"/>
      <c r="Q4" s="154">
        <v>1181.5</v>
      </c>
      <c r="R4" s="154"/>
      <c r="S4" s="154"/>
      <c r="T4" s="154"/>
      <c r="U4" s="154">
        <v>3623.3300000000163</v>
      </c>
    </row>
    <row r="5" spans="1:21">
      <c r="B5" t="s">
        <v>8</v>
      </c>
      <c r="D5" s="154">
        <v>14</v>
      </c>
      <c r="E5" s="154">
        <v>508.99</v>
      </c>
      <c r="F5" s="154">
        <v>74</v>
      </c>
      <c r="G5" s="154">
        <v>311.04000000000002</v>
      </c>
      <c r="H5" s="154">
        <v>248.43</v>
      </c>
      <c r="I5" s="154">
        <v>526.40000000000009</v>
      </c>
      <c r="J5" s="154">
        <v>205.51</v>
      </c>
      <c r="K5" s="154">
        <v>1888.3700000000001</v>
      </c>
      <c r="M5" s="156" t="s">
        <v>30</v>
      </c>
      <c r="N5" s="154">
        <v>100.78999999999999</v>
      </c>
      <c r="O5" s="154">
        <v>0.29000000000000004</v>
      </c>
      <c r="P5" s="154">
        <v>0.45</v>
      </c>
      <c r="Q5" s="154">
        <v>63.9</v>
      </c>
      <c r="R5" s="154">
        <v>89.500000000000014</v>
      </c>
      <c r="S5" s="154">
        <v>5.6999999999999993</v>
      </c>
      <c r="T5" s="154">
        <v>508.35</v>
      </c>
      <c r="U5" s="154">
        <v>768.98</v>
      </c>
    </row>
    <row r="6" spans="1:21">
      <c r="B6" t="s">
        <v>7</v>
      </c>
      <c r="D6" s="154">
        <v>55.21</v>
      </c>
      <c r="E6" s="154">
        <v>74.930000000000007</v>
      </c>
      <c r="F6" s="154">
        <v>62.32</v>
      </c>
      <c r="G6" s="154">
        <v>33.49</v>
      </c>
      <c r="H6" s="154">
        <v>34.54</v>
      </c>
      <c r="I6" s="154"/>
      <c r="J6" s="154"/>
      <c r="K6" s="154">
        <v>260.49</v>
      </c>
      <c r="M6" s="156" t="s">
        <v>54</v>
      </c>
      <c r="N6" s="154"/>
      <c r="O6" s="154"/>
      <c r="P6" s="154"/>
      <c r="Q6" s="154"/>
      <c r="R6" s="154">
        <v>37.01</v>
      </c>
      <c r="S6" s="154"/>
      <c r="T6" s="154"/>
      <c r="U6" s="154">
        <v>37.01</v>
      </c>
    </row>
    <row r="7" spans="1:21">
      <c r="B7" t="s">
        <v>95</v>
      </c>
      <c r="D7" s="154">
        <v>560.05999999999995</v>
      </c>
      <c r="E7" s="154"/>
      <c r="F7" s="154"/>
      <c r="G7" s="154">
        <v>49.13</v>
      </c>
      <c r="H7" s="154"/>
      <c r="I7" s="154">
        <v>83</v>
      </c>
      <c r="J7" s="154"/>
      <c r="K7" s="154">
        <v>692.18999999999994</v>
      </c>
      <c r="M7" s="155" t="s">
        <v>167</v>
      </c>
      <c r="N7" s="154">
        <v>2542.6200000000163</v>
      </c>
      <c r="O7" s="154">
        <v>0.29000000000000004</v>
      </c>
      <c r="P7" s="154">
        <v>0.45</v>
      </c>
      <c r="Q7" s="154">
        <v>1245.4000000000001</v>
      </c>
      <c r="R7" s="154">
        <v>126.51000000000002</v>
      </c>
      <c r="S7" s="154">
        <v>5.6999999999999993</v>
      </c>
      <c r="T7" s="154">
        <v>508.35</v>
      </c>
      <c r="U7" s="154">
        <v>4429.3200000000161</v>
      </c>
    </row>
    <row r="8" spans="1:21">
      <c r="B8" t="s">
        <v>94</v>
      </c>
      <c r="D8" s="154">
        <v>20</v>
      </c>
      <c r="E8" s="154"/>
      <c r="F8" s="154"/>
      <c r="G8" s="154">
        <v>52</v>
      </c>
      <c r="H8" s="154">
        <v>123.96000000000001</v>
      </c>
      <c r="I8" s="154"/>
      <c r="J8" s="154">
        <v>168.62</v>
      </c>
      <c r="K8" s="154">
        <v>364.58000000000004</v>
      </c>
    </row>
    <row r="9" spans="1:21">
      <c r="B9" t="s">
        <v>130</v>
      </c>
      <c r="D9" s="154"/>
      <c r="E9" s="154">
        <v>24.23</v>
      </c>
      <c r="F9" s="154">
        <v>12.71</v>
      </c>
      <c r="G9" s="154"/>
      <c r="H9" s="154">
        <v>5.21</v>
      </c>
      <c r="I9" s="154"/>
      <c r="J9" s="154"/>
      <c r="K9" s="154">
        <v>42.15</v>
      </c>
    </row>
    <row r="10" spans="1:21">
      <c r="A10" t="s">
        <v>11</v>
      </c>
      <c r="D10" s="154">
        <v>1071.25</v>
      </c>
      <c r="E10" s="154">
        <v>1036.3500000000001</v>
      </c>
      <c r="F10" s="154">
        <v>194.51</v>
      </c>
      <c r="G10" s="154">
        <v>470.55</v>
      </c>
      <c r="H10" s="154">
        <v>425.02000000000004</v>
      </c>
      <c r="I10" s="154">
        <v>622.48000000000013</v>
      </c>
      <c r="J10" s="154">
        <v>378.13</v>
      </c>
      <c r="K10" s="90">
        <v>4198.29</v>
      </c>
    </row>
  </sheetData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2789-DE8F-4FB4-B7C3-2204539991EE}">
  <sheetPr codeName="Sheet6"/>
  <dimension ref="A1:R36"/>
  <sheetViews>
    <sheetView topLeftCell="A10" zoomScale="90" zoomScaleNormal="90" workbookViewId="0">
      <selection activeCell="B6" sqref="B6"/>
    </sheetView>
  </sheetViews>
  <sheetFormatPr defaultRowHeight="12.75"/>
  <cols>
    <col min="1" max="1" width="10.7109375" style="101" bestFit="1" customWidth="1"/>
    <col min="2" max="2" width="12.85546875" style="101" bestFit="1" customWidth="1"/>
    <col min="3" max="7" width="14.28515625" style="101" bestFit="1" customWidth="1"/>
    <col min="8" max="10" width="12.85546875" style="101" bestFit="1" customWidth="1"/>
    <col min="11" max="11" width="19.28515625" style="101" bestFit="1" customWidth="1"/>
    <col min="12" max="17" width="19.5703125" style="101" bestFit="1" customWidth="1"/>
    <col min="18" max="18" width="20.85546875" style="101" bestFit="1" customWidth="1"/>
    <col min="19" max="16384" width="9.140625" style="101"/>
  </cols>
  <sheetData>
    <row r="1" spans="1:15">
      <c r="B1" s="103" t="s">
        <v>79</v>
      </c>
      <c r="C1" s="103"/>
      <c r="F1" s="104" t="s">
        <v>3</v>
      </c>
      <c r="G1" s="104"/>
      <c r="H1" s="104"/>
      <c r="I1" s="104"/>
      <c r="J1" s="104"/>
      <c r="K1" s="104"/>
    </row>
    <row r="2" spans="1:15" ht="15">
      <c r="A2" s="101" t="s">
        <v>3</v>
      </c>
      <c r="B2" s="114">
        <f>C2/C2</f>
        <v>1</v>
      </c>
      <c r="C2" s="105">
        <v>36000</v>
      </c>
      <c r="E2" s="113">
        <f>C16</f>
        <v>-60</v>
      </c>
      <c r="F2" s="106">
        <v>36000</v>
      </c>
      <c r="G2" s="106">
        <v>40000</v>
      </c>
      <c r="H2" s="106">
        <v>45000</v>
      </c>
      <c r="I2" s="106">
        <v>50000</v>
      </c>
      <c r="J2" s="106">
        <v>55000</v>
      </c>
      <c r="K2" s="106">
        <v>60000</v>
      </c>
    </row>
    <row r="3" spans="1:15" ht="15">
      <c r="A3" s="101" t="s">
        <v>74</v>
      </c>
      <c r="B3" s="115">
        <f>1/3</f>
        <v>0.33333333333333331</v>
      </c>
      <c r="C3" s="107">
        <f>B3*$C$2</f>
        <v>12000</v>
      </c>
      <c r="E3" s="106">
        <v>45000</v>
      </c>
      <c r="F3" s="102">
        <f t="dataTable" ref="F3:K8" dt2D="1" dtr="1" r1="C2" r2="C15" ca="1"/>
        <v>-9000</v>
      </c>
      <c r="G3" s="102">
        <v>-5000</v>
      </c>
      <c r="H3" s="102">
        <v>0</v>
      </c>
      <c r="I3" s="102">
        <v>5000</v>
      </c>
      <c r="J3" s="102">
        <v>10000</v>
      </c>
      <c r="K3" s="102">
        <v>15000</v>
      </c>
    </row>
    <row r="4" spans="1:15" ht="15">
      <c r="A4" s="101" t="s">
        <v>75</v>
      </c>
      <c r="B4" s="115">
        <f>5000/C2</f>
        <v>0.1388888888888889</v>
      </c>
      <c r="C4" s="107">
        <f>B4*$C$2</f>
        <v>5000</v>
      </c>
      <c r="E4" s="106">
        <v>40000</v>
      </c>
      <c r="F4" s="102">
        <v>-4000</v>
      </c>
      <c r="G4" s="102">
        <v>0</v>
      </c>
      <c r="H4" s="102">
        <v>5000</v>
      </c>
      <c r="I4" s="102">
        <v>10000</v>
      </c>
      <c r="J4" s="102">
        <v>15000</v>
      </c>
      <c r="K4" s="102">
        <v>20000</v>
      </c>
    </row>
    <row r="5" spans="1:15" ht="15">
      <c r="A5" s="103" t="s">
        <v>78</v>
      </c>
      <c r="B5" s="116"/>
      <c r="C5" s="109">
        <f>C2-C3-C4</f>
        <v>19000</v>
      </c>
      <c r="D5" s="108" t="s">
        <v>72</v>
      </c>
      <c r="E5" s="106">
        <v>36000</v>
      </c>
      <c r="F5" s="102">
        <v>0</v>
      </c>
      <c r="G5" s="102">
        <v>4000</v>
      </c>
      <c r="H5" s="102">
        <v>9000</v>
      </c>
      <c r="I5" s="102">
        <v>14000</v>
      </c>
      <c r="J5" s="102">
        <v>19000</v>
      </c>
      <c r="K5" s="102">
        <v>24000</v>
      </c>
    </row>
    <row r="6" spans="1:15" ht="15">
      <c r="A6" s="101" t="s">
        <v>80</v>
      </c>
      <c r="B6" s="116">
        <f>_xlfn.IFS(C2&lt;9526,0.1,C2&lt;38701,0.12,C2&lt;82501,0.22,C2&lt;157501,0.24,C2&lt;200001,0.32)</f>
        <v>0.12</v>
      </c>
      <c r="C6" s="107">
        <f>B6*C5</f>
        <v>2280</v>
      </c>
      <c r="E6" s="106">
        <v>25000</v>
      </c>
      <c r="F6" s="102">
        <v>11000</v>
      </c>
      <c r="G6" s="102">
        <v>15000</v>
      </c>
      <c r="H6" s="102">
        <v>20000</v>
      </c>
      <c r="I6" s="102">
        <v>25000</v>
      </c>
      <c r="J6" s="102">
        <v>30000</v>
      </c>
      <c r="K6" s="102">
        <v>35000</v>
      </c>
    </row>
    <row r="7" spans="1:15" ht="15">
      <c r="A7" s="103" t="s">
        <v>77</v>
      </c>
      <c r="B7" s="116"/>
      <c r="C7" s="109">
        <f>C5-C6</f>
        <v>16720</v>
      </c>
      <c r="E7" s="106">
        <v>18000</v>
      </c>
      <c r="F7" s="102">
        <v>18000</v>
      </c>
      <c r="G7" s="102">
        <v>22000</v>
      </c>
      <c r="H7" s="102">
        <v>27000</v>
      </c>
      <c r="I7" s="102">
        <v>32000</v>
      </c>
      <c r="J7" s="102">
        <v>37000</v>
      </c>
      <c r="K7" s="102">
        <v>42000</v>
      </c>
    </row>
    <row r="8" spans="1:15" ht="15">
      <c r="A8" s="101" t="s">
        <v>76</v>
      </c>
      <c r="B8" s="115">
        <f>5000/C2</f>
        <v>0.1388888888888889</v>
      </c>
      <c r="C8" s="107">
        <f t="shared" ref="C8:C14" si="0">B8*$C$2</f>
        <v>5000</v>
      </c>
      <c r="E8" s="106">
        <v>12000</v>
      </c>
      <c r="F8" s="102">
        <v>24000</v>
      </c>
      <c r="G8" s="102">
        <v>28000</v>
      </c>
      <c r="H8" s="102">
        <v>33000</v>
      </c>
      <c r="I8" s="102">
        <v>38000</v>
      </c>
      <c r="J8" s="102">
        <v>43000</v>
      </c>
      <c r="K8" s="102">
        <v>48000</v>
      </c>
    </row>
    <row r="9" spans="1:15">
      <c r="A9" s="101" t="s">
        <v>70</v>
      </c>
      <c r="B9" s="115">
        <f>2000/C2</f>
        <v>5.5555555555555552E-2</v>
      </c>
      <c r="C9" s="107">
        <f t="shared" si="0"/>
        <v>2000</v>
      </c>
    </row>
    <row r="10" spans="1:15">
      <c r="A10" s="101" t="s">
        <v>71</v>
      </c>
      <c r="B10" s="115">
        <f>(300*12)/C2</f>
        <v>0.1</v>
      </c>
      <c r="C10" s="107">
        <f t="shared" si="0"/>
        <v>3600</v>
      </c>
      <c r="K10" s="104" t="s">
        <v>88</v>
      </c>
      <c r="L10" s="120"/>
      <c r="N10" s="104" t="s">
        <v>89</v>
      </c>
      <c r="O10" s="120"/>
    </row>
    <row r="11" spans="1:15">
      <c r="A11" s="101" t="s">
        <v>6</v>
      </c>
      <c r="B11" s="115">
        <f>(100*12)/C2</f>
        <v>3.3333333333333333E-2</v>
      </c>
      <c r="C11" s="107">
        <f t="shared" si="0"/>
        <v>1200</v>
      </c>
      <c r="K11" s="101" t="s">
        <v>82</v>
      </c>
      <c r="L11" s="101">
        <v>0</v>
      </c>
      <c r="N11" s="101" t="s">
        <v>82</v>
      </c>
      <c r="O11" s="101">
        <v>0</v>
      </c>
    </row>
    <row r="12" spans="1:15">
      <c r="A12" s="101" t="s">
        <v>8</v>
      </c>
      <c r="B12" s="115">
        <f>500/C2</f>
        <v>1.3888888888888888E-2</v>
      </c>
      <c r="C12" s="107">
        <f t="shared" si="0"/>
        <v>500</v>
      </c>
      <c r="K12" s="101" t="s">
        <v>91</v>
      </c>
      <c r="L12" s="101">
        <v>-12000</v>
      </c>
      <c r="N12" s="101" t="s">
        <v>83</v>
      </c>
      <c r="O12" s="101">
        <v>-500</v>
      </c>
    </row>
    <row r="13" spans="1:15">
      <c r="A13" s="101" t="s">
        <v>7</v>
      </c>
      <c r="B13" s="115">
        <f>2000/C2</f>
        <v>5.5555555555555552E-2</v>
      </c>
      <c r="C13" s="107">
        <f t="shared" si="0"/>
        <v>2000</v>
      </c>
      <c r="K13" s="101" t="s">
        <v>85</v>
      </c>
      <c r="L13" s="100">
        <v>0.02</v>
      </c>
      <c r="N13" s="101" t="s">
        <v>85</v>
      </c>
      <c r="O13" s="100">
        <v>0.02</v>
      </c>
    </row>
    <row r="14" spans="1:15">
      <c r="A14" s="101" t="s">
        <v>5</v>
      </c>
      <c r="B14" s="115">
        <f>2480/C2</f>
        <v>6.8888888888888888E-2</v>
      </c>
      <c r="C14" s="107">
        <f t="shared" si="0"/>
        <v>2480</v>
      </c>
      <c r="K14" s="101" t="s">
        <v>86</v>
      </c>
      <c r="L14" s="101">
        <v>240</v>
      </c>
      <c r="N14" s="101" t="s">
        <v>86</v>
      </c>
      <c r="O14" s="101">
        <f>17*12</f>
        <v>204</v>
      </c>
    </row>
    <row r="15" spans="1:15">
      <c r="A15" s="101" t="s">
        <v>72</v>
      </c>
      <c r="B15" s="117">
        <f>SUM(C3:C4,C6,C8:C14)/C2</f>
        <v>1.0016666666666667</v>
      </c>
      <c r="C15" s="111">
        <f>B15*C2</f>
        <v>36060</v>
      </c>
      <c r="D15" s="110"/>
      <c r="K15" s="101" t="s">
        <v>84</v>
      </c>
      <c r="L15" s="99">
        <f>FV(L13/12,L14,L12/12,L11,1)</f>
        <v>295288.16241694748</v>
      </c>
      <c r="N15" s="101" t="s">
        <v>84</v>
      </c>
      <c r="O15" s="99">
        <f>FV(O13/12,O14,O12,O11,1)</f>
        <v>121567.28103657454</v>
      </c>
    </row>
    <row r="16" spans="1:15">
      <c r="A16" s="103" t="s">
        <v>73</v>
      </c>
      <c r="B16" s="103"/>
      <c r="C16" s="112">
        <f>C2-C15</f>
        <v>-60</v>
      </c>
    </row>
    <row r="17" spans="1:18">
      <c r="C17" s="104" t="s">
        <v>3</v>
      </c>
      <c r="D17" s="104"/>
      <c r="E17" s="104"/>
      <c r="F17" s="104"/>
      <c r="G17" s="104"/>
      <c r="H17" s="104"/>
      <c r="K17" s="104" t="s">
        <v>81</v>
      </c>
      <c r="L17" s="104"/>
      <c r="M17" s="104"/>
      <c r="N17" s="104"/>
      <c r="O17" s="104"/>
      <c r="P17" s="104"/>
    </row>
    <row r="18" spans="1:18" ht="15">
      <c r="B18" s="113">
        <f>C16</f>
        <v>-60</v>
      </c>
      <c r="C18" s="106">
        <v>36000</v>
      </c>
      <c r="D18" s="106">
        <v>40000</v>
      </c>
      <c r="E18" s="106">
        <v>45000</v>
      </c>
      <c r="F18" s="106">
        <v>50000</v>
      </c>
      <c r="G18" s="106">
        <v>55000</v>
      </c>
      <c r="H18" s="106">
        <v>60000</v>
      </c>
      <c r="J18" s="113">
        <f>L15</f>
        <v>295288.16241694748</v>
      </c>
      <c r="K18" s="106">
        <f>-12000</f>
        <v>-12000</v>
      </c>
      <c r="L18" s="106">
        <v>-13200</v>
      </c>
      <c r="M18" s="106">
        <v>-14400</v>
      </c>
      <c r="N18" s="106">
        <v>-18000</v>
      </c>
      <c r="O18" s="106">
        <v>-20000</v>
      </c>
      <c r="P18" s="106">
        <v>-25000</v>
      </c>
      <c r="Q18" s="106">
        <v>-30000</v>
      </c>
      <c r="R18" s="106">
        <v>-36000</v>
      </c>
    </row>
    <row r="19" spans="1:18" ht="15">
      <c r="B19" s="106">
        <v>13200</v>
      </c>
      <c r="C19" s="102">
        <f t="dataTable" ref="C19:H24" dt2D="1" dtr="1" r1="C2" r2="C3"/>
        <v>-1116</v>
      </c>
      <c r="D19" s="102">
        <v>224</v>
      </c>
      <c r="E19" s="102">
        <v>4124</v>
      </c>
      <c r="F19" s="102">
        <v>8024</v>
      </c>
      <c r="G19" s="102">
        <v>11924</v>
      </c>
      <c r="H19" s="102">
        <v>15824</v>
      </c>
      <c r="J19" s="119">
        <v>0.03</v>
      </c>
      <c r="K19" s="102">
        <f t="dataTable" ref="K19:R26" dt2D="1" dtr="1" r1="L12" r2="L13"/>
        <v>329122.75312190258</v>
      </c>
      <c r="L19" s="102">
        <v>362035.02843409282</v>
      </c>
      <c r="M19" s="102">
        <v>394947.30374628311</v>
      </c>
      <c r="N19" s="102">
        <v>493684.12968285388</v>
      </c>
      <c r="O19" s="102">
        <v>548537.92186983768</v>
      </c>
      <c r="P19" s="102">
        <v>685672.4023372971</v>
      </c>
      <c r="Q19" s="102">
        <v>822806.8828047564</v>
      </c>
      <c r="R19" s="102">
        <v>987368.25936570775</v>
      </c>
    </row>
    <row r="20" spans="1:18" ht="15">
      <c r="B20" s="106">
        <v>14000</v>
      </c>
      <c r="C20" s="102">
        <v>-1820</v>
      </c>
      <c r="D20" s="102">
        <v>-400</v>
      </c>
      <c r="E20" s="102">
        <v>3500</v>
      </c>
      <c r="F20" s="102">
        <v>7400</v>
      </c>
      <c r="G20" s="102">
        <v>11300</v>
      </c>
      <c r="H20" s="102">
        <v>15200</v>
      </c>
      <c r="J20" s="119">
        <v>0.04</v>
      </c>
      <c r="K20" s="102">
        <v>367997.20817689755</v>
      </c>
      <c r="L20" s="102">
        <v>404796.92899458733</v>
      </c>
      <c r="M20" s="102">
        <v>441596.64981227712</v>
      </c>
      <c r="N20" s="102">
        <v>551995.81226534641</v>
      </c>
      <c r="O20" s="102">
        <v>613328.6802948293</v>
      </c>
      <c r="P20" s="102">
        <v>766660.85036853666</v>
      </c>
      <c r="Q20" s="102">
        <v>919993.0204422439</v>
      </c>
      <c r="R20" s="102">
        <v>1103991.6245306928</v>
      </c>
    </row>
    <row r="21" spans="1:18" ht="15">
      <c r="A21" s="108" t="s">
        <v>74</v>
      </c>
      <c r="B21" s="106">
        <v>18000</v>
      </c>
      <c r="C21" s="102">
        <v>-5340</v>
      </c>
      <c r="D21" s="102">
        <v>-3520</v>
      </c>
      <c r="E21" s="102">
        <v>380</v>
      </c>
      <c r="F21" s="102">
        <v>4280</v>
      </c>
      <c r="G21" s="102">
        <v>8180</v>
      </c>
      <c r="H21" s="102">
        <v>12080</v>
      </c>
      <c r="I21" s="108" t="s">
        <v>87</v>
      </c>
      <c r="J21" s="119">
        <v>0.05</v>
      </c>
      <c r="K21" s="102">
        <v>412746.30880116398</v>
      </c>
      <c r="L21" s="102">
        <v>454020.9396812804</v>
      </c>
      <c r="M21" s="102">
        <v>495295.57056139677</v>
      </c>
      <c r="N21" s="102">
        <v>619119.463201746</v>
      </c>
      <c r="O21" s="102">
        <v>687910.51466860669</v>
      </c>
      <c r="P21" s="102">
        <v>859888.14333575836</v>
      </c>
      <c r="Q21" s="102">
        <v>1031865.77200291</v>
      </c>
      <c r="R21" s="102">
        <v>1238238.926403492</v>
      </c>
    </row>
    <row r="22" spans="1:18" ht="15">
      <c r="B22" s="106">
        <v>20000</v>
      </c>
      <c r="C22" s="102">
        <v>-7100</v>
      </c>
      <c r="D22" s="102">
        <v>-5080</v>
      </c>
      <c r="E22" s="102">
        <v>-1180</v>
      </c>
      <c r="F22" s="102">
        <v>2720</v>
      </c>
      <c r="G22" s="102">
        <v>6620</v>
      </c>
      <c r="H22" s="102">
        <v>10520</v>
      </c>
      <c r="J22" s="119">
        <v>7.0000000000000007E-2</v>
      </c>
      <c r="K22" s="102">
        <v>523965.39867449907</v>
      </c>
      <c r="L22" s="102">
        <v>576361.93854194891</v>
      </c>
      <c r="M22" s="102">
        <v>628758.47840939881</v>
      </c>
      <c r="N22" s="102">
        <v>785948.09801174863</v>
      </c>
      <c r="O22" s="102">
        <v>873275.66445749847</v>
      </c>
      <c r="P22" s="102">
        <v>1091594.5805718731</v>
      </c>
      <c r="Q22" s="102">
        <v>1309913.4966862476</v>
      </c>
      <c r="R22" s="102">
        <v>1571896.1960234973</v>
      </c>
    </row>
    <row r="23" spans="1:18" ht="15">
      <c r="B23" s="106">
        <v>25000</v>
      </c>
      <c r="C23" s="102">
        <v>-11500</v>
      </c>
      <c r="D23" s="102">
        <v>-8980</v>
      </c>
      <c r="E23" s="102">
        <v>-5080</v>
      </c>
      <c r="F23" s="102">
        <v>-1180</v>
      </c>
      <c r="G23" s="102">
        <v>2720</v>
      </c>
      <c r="H23" s="102">
        <v>6620</v>
      </c>
      <c r="J23" s="119">
        <v>0.08</v>
      </c>
      <c r="K23" s="102">
        <v>592947.21839226678</v>
      </c>
      <c r="L23" s="102">
        <v>652241.94023149344</v>
      </c>
      <c r="M23" s="102">
        <v>711536.66207072011</v>
      </c>
      <c r="N23" s="102">
        <v>889420.82758840022</v>
      </c>
      <c r="O23" s="102">
        <v>988245.36398711137</v>
      </c>
      <c r="P23" s="102">
        <v>1235306.7049838891</v>
      </c>
      <c r="Q23" s="102">
        <v>1482368.045980667</v>
      </c>
      <c r="R23" s="102">
        <v>1778841.6551768004</v>
      </c>
    </row>
    <row r="24" spans="1:18" ht="15">
      <c r="B24" s="106">
        <v>30000</v>
      </c>
      <c r="C24" s="102">
        <v>-15900</v>
      </c>
      <c r="D24" s="102">
        <v>-12880</v>
      </c>
      <c r="E24" s="102">
        <v>-8980</v>
      </c>
      <c r="F24" s="102">
        <v>-5079.9999999999927</v>
      </c>
      <c r="G24" s="102">
        <v>-1180</v>
      </c>
      <c r="H24" s="102">
        <v>2720</v>
      </c>
      <c r="J24" s="119">
        <v>0.1</v>
      </c>
      <c r="K24" s="102">
        <v>765696.90962320927</v>
      </c>
      <c r="L24" s="102">
        <v>842266.60058553028</v>
      </c>
      <c r="M24" s="102">
        <v>918836.29154785117</v>
      </c>
      <c r="N24" s="102">
        <v>1148545.3644348138</v>
      </c>
      <c r="O24" s="102">
        <v>1276161.5160386823</v>
      </c>
      <c r="P24" s="102">
        <v>1595201.8950483529</v>
      </c>
      <c r="Q24" s="102">
        <v>1914242.2740580232</v>
      </c>
      <c r="R24" s="102">
        <v>2297090.7288696277</v>
      </c>
    </row>
    <row r="25" spans="1:18" ht="15">
      <c r="J25" s="119">
        <v>0.15</v>
      </c>
      <c r="K25" s="102">
        <v>1515954.9749942087</v>
      </c>
      <c r="L25" s="102">
        <v>1667550.4724936294</v>
      </c>
      <c r="M25" s="102">
        <v>1819145.9699930504</v>
      </c>
      <c r="N25" s="102">
        <v>2273932.462491313</v>
      </c>
      <c r="O25" s="102">
        <v>2526591.6249903478</v>
      </c>
      <c r="P25" s="102">
        <v>3158239.5312379352</v>
      </c>
      <c r="Q25" s="102">
        <v>3789887.4374855217</v>
      </c>
      <c r="R25" s="102">
        <v>4547864.924982626</v>
      </c>
    </row>
    <row r="26" spans="1:18" ht="15">
      <c r="C26" s="104" t="s">
        <v>3</v>
      </c>
      <c r="D26" s="104"/>
      <c r="E26" s="104"/>
      <c r="F26" s="104"/>
      <c r="G26" s="104"/>
      <c r="H26" s="104"/>
      <c r="J26" s="119">
        <v>0.2</v>
      </c>
      <c r="K26" s="102">
        <v>3161479.3684947607</v>
      </c>
      <c r="L26" s="102">
        <v>3477627.305344237</v>
      </c>
      <c r="M26" s="102">
        <v>3793775.2421937129</v>
      </c>
      <c r="N26" s="102">
        <v>4742219.0527421413</v>
      </c>
      <c r="O26" s="102">
        <v>5269132.2808246017</v>
      </c>
      <c r="P26" s="102">
        <v>6586415.3510307521</v>
      </c>
      <c r="Q26" s="102">
        <v>7903698.4212369025</v>
      </c>
      <c r="R26" s="102">
        <v>9484438.1054842826</v>
      </c>
    </row>
    <row r="27" spans="1:18" ht="15">
      <c r="B27" s="113">
        <f>C16</f>
        <v>-60</v>
      </c>
      <c r="C27" s="106">
        <v>36000</v>
      </c>
      <c r="D27" s="106">
        <v>40000</v>
      </c>
      <c r="E27" s="106">
        <v>45000</v>
      </c>
      <c r="F27" s="106">
        <v>50000</v>
      </c>
      <c r="G27" s="106">
        <v>55000</v>
      </c>
      <c r="H27" s="106">
        <v>60000</v>
      </c>
      <c r="K27" s="104" t="s">
        <v>90</v>
      </c>
      <c r="L27" s="120"/>
      <c r="M27" s="120"/>
      <c r="N27" s="120"/>
      <c r="O27" s="120"/>
      <c r="P27" s="120"/>
      <c r="Q27" s="120"/>
    </row>
    <row r="28" spans="1:18" ht="15">
      <c r="B28" s="106">
        <f>12*450</f>
        <v>5400</v>
      </c>
      <c r="C28" s="102">
        <f t="dataTable" ref="C28:H33" dt2D="1" dtr="1" r1="C2" r2="C4" ca="1"/>
        <v>-412</v>
      </c>
      <c r="D28" s="102">
        <v>-192</v>
      </c>
      <c r="E28" s="102">
        <v>2408</v>
      </c>
      <c r="F28" s="102">
        <v>5008</v>
      </c>
      <c r="G28" s="102">
        <v>7608</v>
      </c>
      <c r="H28" s="102">
        <v>10208</v>
      </c>
      <c r="J28" s="113">
        <f>O15</f>
        <v>121567.28103657454</v>
      </c>
      <c r="K28" s="106">
        <v>-500</v>
      </c>
      <c r="L28" s="106">
        <v>-450</v>
      </c>
      <c r="M28" s="106">
        <v>-400</v>
      </c>
      <c r="N28" s="106">
        <v>-350</v>
      </c>
      <c r="O28" s="106">
        <v>-300</v>
      </c>
      <c r="P28" s="106">
        <v>-200</v>
      </c>
      <c r="Q28"/>
      <c r="R28"/>
    </row>
    <row r="29" spans="1:18" ht="15">
      <c r="B29" s="106">
        <f>12*425</f>
        <v>5100</v>
      </c>
      <c r="C29" s="102">
        <v>-148</v>
      </c>
      <c r="D29" s="102">
        <v>42</v>
      </c>
      <c r="E29" s="102">
        <v>2642</v>
      </c>
      <c r="F29" s="102">
        <v>5242</v>
      </c>
      <c r="G29" s="102">
        <v>7842</v>
      </c>
      <c r="H29" s="102">
        <v>10442</v>
      </c>
      <c r="J29" s="119">
        <v>0.03</v>
      </c>
      <c r="K29" s="102">
        <f t="dataTable" ref="K29:P33" dt2D="1" dtr="1" r1="O12" r2="O13"/>
        <v>133178.45085072203</v>
      </c>
      <c r="L29" s="102">
        <v>119860.60576564985</v>
      </c>
      <c r="M29" s="102">
        <v>106542.76068057763</v>
      </c>
      <c r="N29" s="102">
        <v>93224.91559550543</v>
      </c>
      <c r="O29" s="102">
        <v>79907.07051043323</v>
      </c>
      <c r="P29" s="102">
        <v>53271.380340288815</v>
      </c>
      <c r="Q29"/>
      <c r="R29"/>
    </row>
    <row r="30" spans="1:18" ht="15">
      <c r="A30" s="118">
        <v>529</v>
      </c>
      <c r="B30" s="106">
        <f>12*400</f>
        <v>4800</v>
      </c>
      <c r="C30" s="102">
        <v>116</v>
      </c>
      <c r="D30" s="102">
        <v>276</v>
      </c>
      <c r="E30" s="102">
        <v>2876</v>
      </c>
      <c r="F30" s="102">
        <v>5476</v>
      </c>
      <c r="G30" s="102">
        <v>8076</v>
      </c>
      <c r="H30" s="102">
        <v>10676</v>
      </c>
      <c r="I30" s="108" t="s">
        <v>92</v>
      </c>
      <c r="J30" s="119">
        <v>0.04</v>
      </c>
      <c r="K30" s="102">
        <v>146232.85713040546</v>
      </c>
      <c r="L30" s="102">
        <v>131609.57141736493</v>
      </c>
      <c r="M30" s="102">
        <v>116986.28570432439</v>
      </c>
      <c r="N30" s="102">
        <v>102362.99999128384</v>
      </c>
      <c r="O30" s="102">
        <v>87739.714278243293</v>
      </c>
      <c r="P30" s="102">
        <v>58493.142852162193</v>
      </c>
      <c r="Q30"/>
      <c r="R30"/>
    </row>
    <row r="31" spans="1:18" ht="15">
      <c r="B31" s="106">
        <f>12*375</f>
        <v>4500</v>
      </c>
      <c r="C31" s="102">
        <v>380</v>
      </c>
      <c r="D31" s="102">
        <v>510</v>
      </c>
      <c r="E31" s="102">
        <v>3110</v>
      </c>
      <c r="F31" s="102">
        <v>5710</v>
      </c>
      <c r="G31" s="102">
        <v>8310</v>
      </c>
      <c r="H31" s="102">
        <v>10910</v>
      </c>
      <c r="J31" s="119">
        <v>0.05</v>
      </c>
      <c r="K31" s="102">
        <v>160930.02095306557</v>
      </c>
      <c r="L31" s="102">
        <v>144837.01885775902</v>
      </c>
      <c r="M31" s="102">
        <v>128744.01676245245</v>
      </c>
      <c r="N31" s="102">
        <v>112651.01466714589</v>
      </c>
      <c r="O31" s="102">
        <v>96558.012571839339</v>
      </c>
      <c r="P31" s="102">
        <v>64372.008381226224</v>
      </c>
      <c r="Q31"/>
      <c r="R31"/>
    </row>
    <row r="32" spans="1:18" ht="15">
      <c r="B32" s="106">
        <f>12*360</f>
        <v>4320</v>
      </c>
      <c r="C32" s="102">
        <v>538.40000000000146</v>
      </c>
      <c r="D32" s="102">
        <v>650.40000000000146</v>
      </c>
      <c r="E32" s="102">
        <v>3250.4000000000015</v>
      </c>
      <c r="F32" s="102">
        <v>5850.4000000000015</v>
      </c>
      <c r="G32" s="102">
        <v>8450.4000000000015</v>
      </c>
      <c r="H32" s="102">
        <v>11050.400000000001</v>
      </c>
      <c r="J32" s="119">
        <v>0.06</v>
      </c>
      <c r="K32" s="102">
        <v>177498.63281616234</v>
      </c>
      <c r="L32" s="102">
        <v>159748.7695345461</v>
      </c>
      <c r="M32" s="102">
        <v>141998.90625292988</v>
      </c>
      <c r="N32" s="102">
        <v>124249.04297131364</v>
      </c>
      <c r="O32" s="102">
        <v>106499.17968969741</v>
      </c>
      <c r="P32" s="102">
        <v>70999.453126464941</v>
      </c>
      <c r="Q32"/>
      <c r="R32"/>
    </row>
    <row r="33" spans="2:18" ht="15">
      <c r="B33" s="106">
        <f>12*350</f>
        <v>4200</v>
      </c>
      <c r="C33" s="102">
        <v>644</v>
      </c>
      <c r="D33" s="102">
        <v>744</v>
      </c>
      <c r="E33" s="102">
        <v>3344</v>
      </c>
      <c r="F33" s="102">
        <v>5944</v>
      </c>
      <c r="G33" s="102">
        <v>8544</v>
      </c>
      <c r="H33" s="102">
        <v>11144</v>
      </c>
      <c r="J33" s="119">
        <v>0.08</v>
      </c>
      <c r="K33" s="102">
        <v>217337.94605230982</v>
      </c>
      <c r="L33" s="102">
        <v>195604.15144707885</v>
      </c>
      <c r="M33" s="102">
        <v>173870.35684184785</v>
      </c>
      <c r="N33" s="102">
        <v>152136.56223661688</v>
      </c>
      <c r="O33" s="102">
        <v>130402.7676313859</v>
      </c>
      <c r="P33" s="102">
        <v>86935.178420923927</v>
      </c>
      <c r="Q33"/>
      <c r="R33"/>
    </row>
    <row r="34" spans="2:18">
      <c r="J34"/>
      <c r="K34"/>
      <c r="L34"/>
      <c r="M34"/>
      <c r="N34"/>
      <c r="O34"/>
      <c r="P34"/>
      <c r="Q34"/>
      <c r="R34"/>
    </row>
    <row r="35" spans="2:18">
      <c r="J35"/>
      <c r="K35"/>
      <c r="L35"/>
      <c r="M35"/>
      <c r="N35"/>
      <c r="O35"/>
      <c r="P35"/>
      <c r="Q35"/>
      <c r="R35"/>
    </row>
    <row r="36" spans="2:18">
      <c r="J36"/>
      <c r="K36"/>
      <c r="L36"/>
      <c r="M36"/>
      <c r="N36"/>
      <c r="O36"/>
      <c r="P36"/>
      <c r="Q36"/>
      <c r="R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125F-B04F-48D7-8328-A03D7598B1E7}">
  <sheetPr codeName="Sheet7"/>
  <dimension ref="A1:O11"/>
  <sheetViews>
    <sheetView workbookViewId="0">
      <selection activeCell="B3" sqref="B3"/>
    </sheetView>
  </sheetViews>
  <sheetFormatPr defaultRowHeight="12.75"/>
  <cols>
    <col min="1" max="1" width="19" bestFit="1" customWidth="1"/>
    <col min="2" max="14" width="10.28515625" bestFit="1" customWidth="1"/>
    <col min="15" max="15" width="11.28515625" bestFit="1" customWidth="1"/>
  </cols>
  <sheetData>
    <row r="1" spans="1:15">
      <c r="A1" t="s">
        <v>103</v>
      </c>
      <c r="B1" t="s">
        <v>14</v>
      </c>
      <c r="C1" s="125" t="s">
        <v>15</v>
      </c>
      <c r="D1" s="125" t="s">
        <v>16</v>
      </c>
      <c r="E1" s="125" t="s">
        <v>17</v>
      </c>
      <c r="F1" s="125" t="s">
        <v>18</v>
      </c>
      <c r="G1" s="125" t="s">
        <v>58</v>
      </c>
      <c r="H1" s="125" t="s">
        <v>20</v>
      </c>
      <c r="I1" s="125" t="s">
        <v>59</v>
      </c>
      <c r="J1" s="125" t="s">
        <v>22</v>
      </c>
      <c r="K1" s="125" t="s">
        <v>23</v>
      </c>
      <c r="L1" s="125" t="s">
        <v>24</v>
      </c>
      <c r="M1" s="125" t="s">
        <v>25</v>
      </c>
      <c r="N1" s="125" t="s">
        <v>26</v>
      </c>
      <c r="O1" s="126" t="s">
        <v>60</v>
      </c>
    </row>
    <row r="2" spans="1:15">
      <c r="A2" s="128" t="s">
        <v>108</v>
      </c>
      <c r="B2" s="129">
        <f>980.84+822.51+71.5</f>
        <v>1874.85</v>
      </c>
      <c r="C2" s="98">
        <f>B6</f>
        <v>1874.85</v>
      </c>
      <c r="D2" s="98">
        <f t="shared" ref="D2:N2" si="0">C6</f>
        <v>1874.85</v>
      </c>
      <c r="E2" s="98">
        <f t="shared" si="0"/>
        <v>1874.85</v>
      </c>
      <c r="F2" s="98">
        <f t="shared" si="0"/>
        <v>1874.85</v>
      </c>
      <c r="G2" s="98">
        <f t="shared" si="0"/>
        <v>1874.85</v>
      </c>
      <c r="H2" s="98">
        <f t="shared" si="0"/>
        <v>1874.85</v>
      </c>
      <c r="I2" s="98">
        <f t="shared" si="0"/>
        <v>1874.85</v>
      </c>
      <c r="J2" s="98">
        <f t="shared" si="0"/>
        <v>1874.85</v>
      </c>
      <c r="K2" s="98">
        <f t="shared" si="0"/>
        <v>1874.85</v>
      </c>
      <c r="L2" s="98">
        <f t="shared" si="0"/>
        <v>1874.85</v>
      </c>
      <c r="M2" s="98">
        <f t="shared" si="0"/>
        <v>1874.85</v>
      </c>
      <c r="N2" s="98">
        <f t="shared" si="0"/>
        <v>1874.85</v>
      </c>
      <c r="O2" s="98"/>
    </row>
    <row r="3" spans="1:15">
      <c r="A3" s="124" t="s">
        <v>43</v>
      </c>
      <c r="B3" s="130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98">
        <f>SUM(Table6[[#This Row],[January]:[December]])</f>
        <v>0</v>
      </c>
    </row>
    <row r="4" spans="1:15">
      <c r="A4" s="124" t="s">
        <v>46</v>
      </c>
      <c r="B4" s="130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98">
        <f>SUM(Table6[[#This Row],[January]:[December]])</f>
        <v>0</v>
      </c>
    </row>
    <row r="5" spans="1:15">
      <c r="A5" s="124" t="s">
        <v>47</v>
      </c>
      <c r="B5" s="130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98">
        <f>SUM(Table6[[#This Row],[January]:[December]])</f>
        <v>0</v>
      </c>
    </row>
    <row r="6" spans="1:15" s="5" customFormat="1">
      <c r="A6" s="127" t="s">
        <v>106</v>
      </c>
      <c r="B6" s="132">
        <f>SUBTOTAL(109,B2:B5)</f>
        <v>1874.85</v>
      </c>
      <c r="C6" s="132">
        <f t="shared" ref="C6:N6" si="1">SUBTOTAL(109,C2:C5)</f>
        <v>1874.85</v>
      </c>
      <c r="D6" s="132">
        <f t="shared" si="1"/>
        <v>1874.85</v>
      </c>
      <c r="E6" s="132">
        <f t="shared" si="1"/>
        <v>1874.85</v>
      </c>
      <c r="F6" s="132">
        <f t="shared" si="1"/>
        <v>1874.85</v>
      </c>
      <c r="G6" s="132">
        <f t="shared" si="1"/>
        <v>1874.85</v>
      </c>
      <c r="H6" s="132">
        <f t="shared" si="1"/>
        <v>1874.85</v>
      </c>
      <c r="I6" s="132">
        <f t="shared" si="1"/>
        <v>1874.85</v>
      </c>
      <c r="J6" s="132">
        <f t="shared" si="1"/>
        <v>1874.85</v>
      </c>
      <c r="K6" s="132">
        <f t="shared" si="1"/>
        <v>1874.85</v>
      </c>
      <c r="L6" s="132">
        <f t="shared" si="1"/>
        <v>1874.85</v>
      </c>
      <c r="M6" s="132">
        <f t="shared" si="1"/>
        <v>1874.85</v>
      </c>
      <c r="N6" s="132">
        <f t="shared" si="1"/>
        <v>1874.85</v>
      </c>
      <c r="O6" s="133"/>
    </row>
    <row r="7" spans="1:15">
      <c r="A7" s="128" t="s">
        <v>107</v>
      </c>
      <c r="B7" s="129">
        <f>53047</f>
        <v>53047</v>
      </c>
      <c r="C7" s="98">
        <f>B11</f>
        <v>53047</v>
      </c>
      <c r="D7" s="98">
        <f t="shared" ref="D7:N7" si="2">C11</f>
        <v>53047</v>
      </c>
      <c r="E7" s="98">
        <f t="shared" si="2"/>
        <v>53047</v>
      </c>
      <c r="F7" s="98">
        <f t="shared" si="2"/>
        <v>53047</v>
      </c>
      <c r="G7" s="98">
        <f t="shared" si="2"/>
        <v>53047</v>
      </c>
      <c r="H7" s="98">
        <f t="shared" si="2"/>
        <v>53047</v>
      </c>
      <c r="I7" s="98">
        <f t="shared" si="2"/>
        <v>53047</v>
      </c>
      <c r="J7" s="98">
        <f t="shared" si="2"/>
        <v>53047</v>
      </c>
      <c r="K7" s="98">
        <f t="shared" si="2"/>
        <v>53047</v>
      </c>
      <c r="L7" s="98">
        <f t="shared" si="2"/>
        <v>53047</v>
      </c>
      <c r="M7" s="98">
        <f t="shared" si="2"/>
        <v>53047</v>
      </c>
      <c r="N7" s="98">
        <f t="shared" si="2"/>
        <v>53047</v>
      </c>
      <c r="O7" s="98"/>
    </row>
    <row r="8" spans="1:15">
      <c r="A8" s="124" t="s">
        <v>43</v>
      </c>
      <c r="B8" s="130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98">
        <f>SUM(Table6[[#This Row],[January]:[December]])</f>
        <v>0</v>
      </c>
    </row>
    <row r="9" spans="1:15">
      <c r="A9" s="124" t="s">
        <v>46</v>
      </c>
      <c r="B9" s="130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98">
        <f>SUM(Table6[[#This Row],[January]:[December]])</f>
        <v>0</v>
      </c>
    </row>
    <row r="10" spans="1:15">
      <c r="A10" s="124" t="s">
        <v>47</v>
      </c>
      <c r="B10" s="130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98">
        <f>SUM(Table6[[#This Row],[January]:[December]])</f>
        <v>0</v>
      </c>
    </row>
    <row r="11" spans="1:15" s="5" customFormat="1">
      <c r="A11" s="5" t="s">
        <v>105</v>
      </c>
      <c r="B11" s="133">
        <f>SUM(B7:B10)</f>
        <v>53047</v>
      </c>
      <c r="C11" s="133">
        <f t="shared" ref="C11:N11" si="3">SUM(C7:C10)</f>
        <v>53047</v>
      </c>
      <c r="D11" s="133">
        <f t="shared" si="3"/>
        <v>53047</v>
      </c>
      <c r="E11" s="133">
        <f t="shared" si="3"/>
        <v>53047</v>
      </c>
      <c r="F11" s="133">
        <f t="shared" si="3"/>
        <v>53047</v>
      </c>
      <c r="G11" s="133">
        <f t="shared" si="3"/>
        <v>53047</v>
      </c>
      <c r="H11" s="133">
        <f t="shared" si="3"/>
        <v>53047</v>
      </c>
      <c r="I11" s="133">
        <f t="shared" si="3"/>
        <v>53047</v>
      </c>
      <c r="J11" s="133">
        <f t="shared" si="3"/>
        <v>53047</v>
      </c>
      <c r="K11" s="133">
        <f t="shared" si="3"/>
        <v>53047</v>
      </c>
      <c r="L11" s="133">
        <f t="shared" si="3"/>
        <v>53047</v>
      </c>
      <c r="M11" s="133">
        <f t="shared" si="3"/>
        <v>53047</v>
      </c>
      <c r="N11" s="133">
        <f t="shared" si="3"/>
        <v>53047</v>
      </c>
      <c r="O11" s="13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956AA-64BB-4FB3-B9A3-4B17B3E1F75B}">
  <sheetPr codeName="Sheet2"/>
  <dimension ref="A1:B12"/>
  <sheetViews>
    <sheetView workbookViewId="0">
      <selection activeCell="B5" sqref="B5"/>
    </sheetView>
  </sheetViews>
  <sheetFormatPr defaultRowHeight="12.75"/>
  <cols>
    <col min="1" max="1" width="12.140625" bestFit="1" customWidth="1"/>
    <col min="2" max="2" width="15.28515625" bestFit="1" customWidth="1"/>
  </cols>
  <sheetData>
    <row r="1" spans="1:2">
      <c r="A1" s="5" t="s">
        <v>3</v>
      </c>
      <c r="B1" s="5" t="s">
        <v>32</v>
      </c>
    </row>
    <row r="2" spans="1:2">
      <c r="A2" t="s">
        <v>54</v>
      </c>
      <c r="B2" t="str">
        <f>'Projected CF'!B17</f>
        <v>Transportation</v>
      </c>
    </row>
    <row r="3" spans="1:2">
      <c r="A3" t="s">
        <v>29</v>
      </c>
      <c r="B3" t="str">
        <f>'Projected CF'!B18</f>
        <v>Bills And Utilities</v>
      </c>
    </row>
    <row r="4" spans="1:2">
      <c r="A4" t="s">
        <v>30</v>
      </c>
      <c r="B4" t="str">
        <f>'Projected CF'!B19</f>
        <v>Debt</v>
      </c>
    </row>
    <row r="5" spans="1:2">
      <c r="A5" t="s">
        <v>4</v>
      </c>
      <c r="B5" t="str">
        <f>'Projected CF'!B20</f>
        <v>Groceries And Dining</v>
      </c>
    </row>
    <row r="6" spans="1:2">
      <c r="A6" t="s">
        <v>9</v>
      </c>
      <c r="B6" t="str">
        <f>'Projected CF'!B21</f>
        <v>Home</v>
      </c>
    </row>
    <row r="7" spans="1:2">
      <c r="B7" t="str">
        <f>'Projected CF'!B22</f>
        <v>Shopping</v>
      </c>
    </row>
    <row r="8" spans="1:2">
      <c r="B8" t="str">
        <f>'Projected CF'!B23</f>
        <v>Immigration</v>
      </c>
    </row>
    <row r="9" spans="1:2">
      <c r="B9" t="str">
        <f>'Projected CF'!B24</f>
        <v>Other</v>
      </c>
    </row>
    <row r="10" spans="1:2">
      <c r="B10" t="str">
        <f>'Projected CF'!B25</f>
        <v>Expense 9</v>
      </c>
    </row>
    <row r="11" spans="1:2">
      <c r="B11" t="str">
        <f>'Projected CF'!B26</f>
        <v>Expense 10</v>
      </c>
    </row>
    <row r="12" spans="1:2">
      <c r="B12" t="str">
        <f>'Projected CF'!B27</f>
        <v>Expense 11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Summary</vt:lpstr>
      <vt:lpstr>Transactions</vt:lpstr>
      <vt:lpstr>Projected CF</vt:lpstr>
      <vt:lpstr>Pivot Table</vt:lpstr>
      <vt:lpstr>Scenarios</vt:lpstr>
      <vt:lpstr>Debt and Investments</vt:lpstr>
      <vt:lpstr>Lists</vt:lpstr>
      <vt:lpstr>data</vt:lpstr>
      <vt:lpstr>Transactions!Date</vt:lpstr>
      <vt:lpstr>Transactions!Description</vt:lpstr>
      <vt:lpstr>Expense</vt:lpstr>
      <vt:lpstr>Expenses</vt:lpstr>
      <vt:lpstr>Income</vt:lpstr>
      <vt:lpstr>Transactions!Payment_Type</vt:lpstr>
      <vt:lpstr>'Projected CF'!Print_Area</vt:lpstr>
      <vt:lpstr>Transactions!Print_Area</vt:lpstr>
      <vt:lpstr>'Projected CF'!Print_Titles</vt:lpstr>
      <vt:lpstr>Projected_Expenses</vt:lpstr>
      <vt:lpstr>Transactions!Savings</vt:lpstr>
      <vt:lpstr>Transactions!Subtotal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kligel</dc:creator>
  <cp:lastModifiedBy>admin</cp:lastModifiedBy>
  <dcterms:created xsi:type="dcterms:W3CDTF">2018-08-13T21:25:43Z</dcterms:created>
  <dcterms:modified xsi:type="dcterms:W3CDTF">2019-07-31T08:01:15Z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GetData_1" visible="true" label="GetData" imageMso="DesignXml" onAction="GetData"/>
      </mso:documentControls>
    </mso:qat>
  </mso:ribbon>
</mso:customUI>
</file>